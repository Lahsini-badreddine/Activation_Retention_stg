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liverables" sheetId="1" r:id="rId4"/>
    <sheet state="visible" name="Tab 1 - Measure drop-offs" sheetId="2" r:id="rId5"/>
    <sheet state="visible" name="Tab 2 - Signup Experiments" sheetId="3" r:id="rId6"/>
    <sheet state="visible" name="Tab 3 - Activation Hypothesis" sheetId="4" r:id="rId7"/>
    <sheet state="visible" name="Tab 4 - Habit Moment and Metric" sheetId="5" r:id="rId8"/>
    <sheet state="visible" name="Tab 5 - Aha Moment and Metric A" sheetId="6" r:id="rId9"/>
    <sheet state="visible" name="Tab 6 - Setup Moment and Metric" sheetId="7" r:id="rId10"/>
    <sheet state="visible" name="Tab 7 - Activation Funnel" sheetId="8" r:id="rId11"/>
    <sheet state="visible" name="Tab 8 - Segment Analysis" sheetId="9" r:id="rId12"/>
  </sheets>
  <definedNames/>
  <calcPr/>
</workbook>
</file>

<file path=xl/sharedStrings.xml><?xml version="1.0" encoding="utf-8"?>
<sst xmlns="http://schemas.openxmlformats.org/spreadsheetml/2006/main" count="713" uniqueCount="451">
  <si>
    <t>Activation Analysis</t>
  </si>
  <si>
    <r>
      <rPr>
        <rFont val="Arial"/>
        <b/>
        <color theme="1"/>
      </rPr>
      <t>Instructions:</t>
    </r>
    <r>
      <rPr>
        <rFont val="Arial"/>
        <color theme="1"/>
      </rPr>
      <t xml:space="preserve"> In Course 1, you learned how to acquire a customer. Now you have driven your prospect to the point of signup, this prospect is handed off from the Growth PM focused on acquisition to Growth PM focused on activation, YOU. </t>
    </r>
  </si>
  <si>
    <t xml:space="preserve">These tasks will help you understand how to decrease time-to-value and remove friction for users when signing up. After signing up, it's important to activate customers so they experience your value proposition as early as possible, so we must activate users quickly. 
</t>
  </si>
  <si>
    <t>Step 2: Complete Tabs 3 - 8 in order by signing up for Slack: https://slack.com/get-started. These tasks will help you understand how to apply activation theories to guide users from 1-stage to another (signup to engagement) in the Activation model and how to segment audiences and use levers to increase engagement. You are using two different companies (Slack and Productboard) in the project because it will allow you to apply the frameworks, theories, and methods in the classroom to multiple examples, seeing how a GPM at a large and a small scale company address signup flow and activation.</t>
  </si>
  <si>
    <t xml:space="preserve">These tasks will help you understand how to apply activation theories to guide users from 1-stage to another (signup to engagement) in the Activation flow, how to segment audiences and use levers to increase engagement. </t>
  </si>
  <si>
    <t>You are using two different companies (Slack and Productboard) in the project because it will allow you to apply the frameworks, theories, and methods in the classroom to multiple contexts. You will get a feeling for how a GPM at a large and a small scale company address signup flow and activation.</t>
  </si>
  <si>
    <r>
      <rPr>
        <rFont val="Arial"/>
        <b/>
        <color theme="1"/>
      </rPr>
      <t>Note:</t>
    </r>
    <r>
      <rPr>
        <rFont val="Arial"/>
        <color theme="1"/>
      </rPr>
      <t xml:space="preserve"> If you are unable to or have not used Slack before, imagine a product that is the equivalent to SMS, Messenger, or Whatsapp, but for business use-case. Think of the tools mentioned above as an equivalent if you are unable to think of the moments for Slack.</t>
    </r>
  </si>
  <si>
    <t>Mark a task completed on Column B after completing each Tab. To help you keep track of what you have completed.</t>
  </si>
  <si>
    <t>Tab</t>
  </si>
  <si>
    <t>Completed?</t>
  </si>
  <si>
    <t>Tasks</t>
  </si>
  <si>
    <t>Signup Flow</t>
  </si>
  <si>
    <t>Measure drop-offs</t>
  </si>
  <si>
    <t>Signup Experiments</t>
  </si>
  <si>
    <t>Understand Product</t>
  </si>
  <si>
    <t>Activation Hypothesis</t>
  </si>
  <si>
    <t>Funnel Analysis</t>
  </si>
  <si>
    <t>Habit Moment and Metric Analysis</t>
  </si>
  <si>
    <t>Aha Moment and Metric Analysis</t>
  </si>
  <si>
    <t>Setup Moment and Metric Analysis</t>
  </si>
  <si>
    <t>Activation Funnel</t>
  </si>
  <si>
    <t>Activation by Segment</t>
  </si>
  <si>
    <t>Segment Analysis</t>
  </si>
  <si>
    <r>
      <rPr>
        <rFont val="Arial"/>
        <b/>
        <color theme="1"/>
      </rPr>
      <t xml:space="preserve">Scenario: </t>
    </r>
    <r>
      <rPr>
        <rFont val="Arial"/>
        <b val="0"/>
        <color theme="1"/>
      </rPr>
      <t xml:space="preserve">You have been brought onto a project at Productboard to help the company optimize the signup flow. 
 </t>
    </r>
  </si>
  <si>
    <t>Your task is to analyze each step in the sign up flow that a user would go through.</t>
  </si>
  <si>
    <t>Qualitatively, understand what each step is asking and if it creates any bad friction.</t>
  </si>
  <si>
    <t>Quantitatively, measure the amount of input (click and fields) it takes for the user to complete each step and what the drop-off rates are.</t>
  </si>
  <si>
    <t>Once you understand the existing flow, suggest experiments to reduce drop-offs %. Doing so, you will increase the amount of leads to the top of the funnel.</t>
  </si>
  <si>
    <r>
      <rPr>
        <rFont val="Arial"/>
        <b/>
        <color theme="1"/>
      </rPr>
      <t xml:space="preserve">Skill: </t>
    </r>
    <r>
      <rPr>
        <rFont val="Arial"/>
        <b val="0"/>
        <color theme="1"/>
      </rPr>
      <t>You should:
(1) Calculate drop-offs at each step of sign up flow
(2) Analyze how to reduce drop-offs (increase the signup completion rate) in the flow
(3) Think on how to get users through the activation funnel
(4) Create experiments using the [ACTION], [OUTCOME], and [THEORY] framework.</t>
    </r>
  </si>
  <si>
    <r>
      <rPr>
        <rFont val="Arial"/>
        <b/>
        <color theme="1"/>
      </rPr>
      <t xml:space="preserve">Instructions: </t>
    </r>
    <r>
      <rPr>
        <rFont val="Arial"/>
        <b val="0"/>
        <color theme="1"/>
      </rPr>
      <t xml:space="preserve">Sign Up for the free trial of productboard (https://app.productboard.com/register) to complete in-order, a row-at-a-time, the 9 sign-up steps in Column A. Each screen in the sign up on productboard will equal a row in this sheet. Pause at each screen on signup to complete the analysis on each row in this sheet by filling in the questions in the columns for that step before continuing with your sign up on productboard. Along the way, address the questions and calculations in Row 20 to explain your understanding of friction in each step and suggest experiments to address any frictions. Complete the task 1-row at a time from Row 22 - 29. </t>
    </r>
  </si>
  <si>
    <r>
      <rPr>
        <rFont val="Arial"/>
        <b/>
        <color theme="1"/>
      </rPr>
      <t xml:space="preserve">1. </t>
    </r>
    <r>
      <rPr>
        <rFont val="Arial"/>
        <b val="0"/>
        <color theme="1"/>
      </rPr>
      <t>Take the Click Through # and calculate the fields on Column D, E, and F.</t>
    </r>
  </si>
  <si>
    <r>
      <rPr>
        <rFont val="Arial"/>
        <b/>
        <color theme="1"/>
      </rPr>
      <t xml:space="preserve">2. </t>
    </r>
    <r>
      <rPr>
        <rFont val="Arial"/>
        <b val="0"/>
        <color theme="1"/>
      </rPr>
      <t>Fill in the # of clicks and fields in Column G and H as you go through each step of the sign up flow.</t>
    </r>
  </si>
  <si>
    <t>3. In Column M and N, take the CTA directly from the sign-up flow and document the CTA and an explanation of the information that is being asked</t>
  </si>
  <si>
    <r>
      <rPr>
        <rFont val="Arial"/>
        <b/>
        <color theme="1"/>
      </rPr>
      <t xml:space="preserve">4. </t>
    </r>
    <r>
      <rPr>
        <rFont val="Arial"/>
        <b val="0"/>
        <color theme="1"/>
      </rPr>
      <t>In Column O explain your understanding of the value extracted from the information collected.</t>
    </r>
  </si>
  <si>
    <r>
      <rPr>
        <rFont val="Arial"/>
        <b/>
        <color theme="1"/>
      </rPr>
      <t xml:space="preserve">5. </t>
    </r>
    <r>
      <rPr>
        <rFont val="Arial"/>
        <b val="0"/>
        <color theme="1"/>
      </rPr>
      <t>In Column P, Q, and R, reply with a binary yes/no; If no, then explain your reasoning.</t>
    </r>
  </si>
  <si>
    <r>
      <rPr>
        <rFont val="Arial"/>
        <b/>
        <color theme="1"/>
      </rPr>
      <t xml:space="preserve">6. </t>
    </r>
    <r>
      <rPr>
        <rFont val="Arial"/>
        <b val="0"/>
        <color theme="1"/>
      </rPr>
      <t>Demonstrate your understanding of good and bad friction in Columns S to V by applying the concept of friction to this specific sign up flow.</t>
    </r>
  </si>
  <si>
    <r>
      <rPr>
        <rFont val="Arial"/>
        <b/>
        <color theme="1"/>
      </rPr>
      <t xml:space="preserve">7. </t>
    </r>
    <r>
      <rPr>
        <rFont val="Arial"/>
        <b val="0"/>
        <color theme="1"/>
      </rPr>
      <t xml:space="preserve">In Column W, create a experiment brief using the [ACTION], [OUTCOME], and [THEORY] framework. </t>
    </r>
  </si>
  <si>
    <t>Cells in Orange have been completed for you as an example. The formulas have been removed.</t>
  </si>
  <si>
    <t>A</t>
  </si>
  <si>
    <t>B</t>
  </si>
  <si>
    <t xml:space="preserve">C </t>
  </si>
  <si>
    <t>D</t>
  </si>
  <si>
    <t>E</t>
  </si>
  <si>
    <t>F</t>
  </si>
  <si>
    <t>G</t>
  </si>
  <si>
    <t xml:space="preserve">H </t>
  </si>
  <si>
    <t>I</t>
  </si>
  <si>
    <t>J</t>
  </si>
  <si>
    <t>K</t>
  </si>
  <si>
    <t>L</t>
  </si>
  <si>
    <t>M</t>
  </si>
  <si>
    <t>N</t>
  </si>
  <si>
    <t>O</t>
  </si>
  <si>
    <t>P</t>
  </si>
  <si>
    <t>Q</t>
  </si>
  <si>
    <t>R</t>
  </si>
  <si>
    <t>S</t>
  </si>
  <si>
    <t>T</t>
  </si>
  <si>
    <t>U</t>
  </si>
  <si>
    <t>V</t>
  </si>
  <si>
    <t>W</t>
  </si>
  <si>
    <t>Step</t>
  </si>
  <si>
    <t>Name</t>
  </si>
  <si>
    <t>Click-through #</t>
  </si>
  <si>
    <t>Click-through %</t>
  </si>
  <si>
    <t>Drop-off % at each step</t>
  </si>
  <si>
    <r>
      <rPr>
        <rFont val="Arial"/>
        <b/>
        <color theme="1"/>
      </rPr>
      <t xml:space="preserve">Drop-off % through funnel </t>
    </r>
    <r>
      <rPr>
        <rFont val="Arial"/>
        <b val="0"/>
        <color theme="1"/>
      </rPr>
      <t>(starting signup)</t>
    </r>
  </si>
  <si>
    <r>
      <rPr>
        <rFont val="Arial"/>
        <b/>
        <color theme="1"/>
      </rPr>
      <t>How many total clicks to get to next step?</t>
    </r>
    <r>
      <rPr>
        <rFont val="Arial"/>
        <b val="0"/>
        <color theme="1"/>
      </rPr>
      <t xml:space="preserve"> (including optional fields)</t>
    </r>
  </si>
  <si>
    <r>
      <rPr>
        <rFont val="Arial"/>
        <b/>
        <color theme="1"/>
      </rPr>
      <t xml:space="preserve">How many fields to fill out? </t>
    </r>
    <r>
      <rPr>
        <rFont val="Arial"/>
        <b val="0"/>
        <color theme="1"/>
      </rPr>
      <t>(including optional fields)</t>
    </r>
  </si>
  <si>
    <t>Observations (Personal Notes)</t>
  </si>
  <si>
    <t>What is the Call-To-Action (CTA)?</t>
  </si>
  <si>
    <t>What information is being asked on this step?</t>
  </si>
  <si>
    <t>What do you think this information is used for?</t>
  </si>
  <si>
    <t>Is the action clear? (If not, explain)</t>
  </si>
  <si>
    <t>Do you think this step is located in the correct (most natural) order of the flow? (If not, explain)</t>
  </si>
  <si>
    <t>Is this step necessary? (If not, explain)</t>
  </si>
  <si>
    <t>Is this good friction or bad friction?</t>
  </si>
  <si>
    <t>If bad friction, how can it be addressed?</t>
  </si>
  <si>
    <t>Why might you not want to remove this bad friction?</t>
  </si>
  <si>
    <t>Can the amount of clicks be reduced? If so, how?</t>
  </si>
  <si>
    <t>Experiment Brief</t>
  </si>
  <si>
    <t>Home Page</t>
  </si>
  <si>
    <t>0%%</t>
  </si>
  <si>
    <t>Just a simple home page with 2 call-to-actions (CTAs) above the fold.</t>
  </si>
  <si>
    <t>[Try Now] and [TRY NOW]</t>
  </si>
  <si>
    <t>To start the free trial by clicking the CTA</t>
  </si>
  <si>
    <t>To start the free trial</t>
  </si>
  <si>
    <t>Yes</t>
  </si>
  <si>
    <t>Good</t>
  </si>
  <si>
    <t>--</t>
  </si>
  <si>
    <t>[ACTION] If we run an a/b experiment by changing the copy from "try now" to "start free trial", or "start 14-day trial" [OUTCOME] we can evaluate if there is more click-throughs to the sign-up page [Theory] because the copy will better present that the trial is offered for free, is for 14-days, and does not require a credit card.</t>
  </si>
  <si>
    <t>Free Trial Sign Up</t>
  </si>
  <si>
    <t>one field (email address to fill) and one CTA at the buttom</t>
  </si>
  <si>
    <t>Sign up with work email</t>
  </si>
  <si>
    <t>Start the sign up process by providing 
the Email Address</t>
  </si>
  <si>
    <t>to start the sign up process</t>
  </si>
  <si>
    <t>-</t>
  </si>
  <si>
    <t>No</t>
  </si>
  <si>
    <r>
      <rPr>
        <rFont val="Arial"/>
        <color theme="1"/>
      </rPr>
      <t>[ACTION] If we run an a/b experiment by changing the copy from "</t>
    </r>
    <r>
      <rPr>
        <rFont val="Arial"/>
        <b/>
        <i/>
        <color theme="1"/>
      </rPr>
      <t>Sign up with work email</t>
    </r>
    <r>
      <rPr>
        <rFont val="Arial"/>
        <color theme="1"/>
      </rPr>
      <t>" to "</t>
    </r>
    <r>
      <rPr>
        <rFont val="Arial"/>
        <b/>
        <i/>
        <color theme="1"/>
      </rPr>
      <t>Get Verification Link</t>
    </r>
    <r>
      <rPr>
        <rFont val="Arial"/>
        <color theme="1"/>
      </rPr>
      <t>", [OUTCOME] we can test whether this CTA copy performs better or leave the first one [Theory] because this new copy can remove some uncertainty and inform the user about the next step and what to expect.</t>
    </r>
  </si>
  <si>
    <t>Verification Email</t>
  </si>
  <si>
    <t xml:space="preserve">A message that says "Now confirm it's you", and some links to Gmail, Yahoo, Outlook to open the email and verify the email address </t>
  </si>
  <si>
    <t>[Open Gmail] &amp; [Open Outlook] &amp; [Open Yahoo]</t>
  </si>
  <si>
    <t>Open the email address</t>
  </si>
  <si>
    <t>Verify the email Address</t>
  </si>
  <si>
    <r>
      <rPr>
        <rFont val="Arial"/>
        <color theme="1"/>
      </rPr>
      <t xml:space="preserve">[ACTION] If we run an a/b experiment by changing the copy from </t>
    </r>
    <r>
      <rPr>
        <rFont val="Arial"/>
        <b/>
        <i/>
        <color theme="1"/>
      </rPr>
      <t>"Open Gmail | Open Outlook | Open Yahoo"</t>
    </r>
    <r>
      <rPr>
        <rFont val="Arial"/>
        <color theme="1"/>
      </rPr>
      <t xml:space="preserve"> to  just "</t>
    </r>
    <r>
      <rPr>
        <rFont val="Arial"/>
        <b/>
        <i/>
        <color theme="1"/>
      </rPr>
      <t>Gmail, Outlook, Yahoo</t>
    </r>
    <r>
      <rPr>
        <rFont val="Arial"/>
        <color theme="1"/>
      </rPr>
      <t xml:space="preserve">", and the text to display above these CTAs will be </t>
    </r>
    <r>
      <rPr>
        <rFont val="Arial"/>
        <b/>
        <i/>
        <color theme="1"/>
      </rPr>
      <t xml:space="preserve">"Get Verification Link on" </t>
    </r>
    <r>
      <rPr>
        <rFont val="Arial"/>
        <color theme="1"/>
      </rPr>
      <t>[OUTCOME] we can evaluate if there is more click-throughs [Theory] because this new copy can remove some uncertainty and inform the user about the next step and what to expect.</t>
    </r>
  </si>
  <si>
    <t>Activate account in email</t>
  </si>
  <si>
    <t>A text and a CTA in the middle</t>
  </si>
  <si>
    <t>Activate account</t>
  </si>
  <si>
    <t>Click on the CTA to verify email</t>
  </si>
  <si>
    <r>
      <rPr>
        <rFont val="Arial"/>
        <color theme="1"/>
      </rPr>
      <t>[ACTION] If we run an a/b experiment by changing the copy from "</t>
    </r>
    <r>
      <rPr>
        <rFont val="Arial"/>
        <b/>
        <i/>
        <color theme="1"/>
      </rPr>
      <t>Activate account</t>
    </r>
    <r>
      <rPr>
        <rFont val="Arial"/>
        <color theme="1"/>
      </rPr>
      <t>" to "</t>
    </r>
    <r>
      <rPr>
        <rFont val="Arial"/>
        <b/>
        <i/>
        <color theme="1"/>
      </rPr>
      <t>Activate and create workspace</t>
    </r>
    <r>
      <rPr>
        <rFont val="Arial"/>
        <color theme="1"/>
      </rPr>
      <t>", [OUTCOME] remove uncertainty again and let the user know what is the next step in his sign up process [Theory] because this new copy informs the user that the next step is creating the work space, and this will show that he is close enough to the end of the sign up process.</t>
    </r>
  </si>
  <si>
    <t>Submit personal info</t>
  </si>
  <si>
    <t>Two fields and a CTA at the buttom</t>
  </si>
  <si>
    <t>Continue</t>
  </si>
  <si>
    <t>Provide the name to create the workspace</t>
  </si>
  <si>
    <t>Creating the Workspace</t>
  </si>
  <si>
    <r>
      <rPr>
        <rFont val="Arial"/>
        <color theme="1"/>
      </rPr>
      <t>[ACTION] If we integrate this step with the followed one (</t>
    </r>
    <r>
      <rPr>
        <rFont val="Arial"/>
        <b/>
        <i/>
        <color theme="1"/>
      </rPr>
      <t>creating workspace</t>
    </r>
    <r>
      <rPr>
        <rFont val="Arial"/>
        <color theme="1"/>
      </rPr>
      <t>), [OUTCOME] we would be consistent in our messaging [Theory] because in the previous step, we made it clear to the user that in this step, he/she will create his/her workspace, and by integrating these two steps together, we will decease the step of the sign up process, and it won't be looking too long.</t>
    </r>
  </si>
  <si>
    <t>Name your workspace</t>
  </si>
  <si>
    <r>
      <rPr>
        <rFont val="Arial"/>
        <color theme="1"/>
      </rPr>
      <t>[ACTION] If we integrate this step with the previous one (</t>
    </r>
    <r>
      <rPr>
        <rFont val="Arial"/>
        <b/>
        <i/>
        <color theme="1"/>
      </rPr>
      <t>Personal Info</t>
    </r>
    <r>
      <rPr>
        <rFont val="Arial"/>
        <color theme="1"/>
      </rPr>
      <t>), [OUTCOME] we would be consistent in our messaging [Theory] because, we made it clear to the user, in the email, that in this step, he/she will create his/her workspace, and by integrating these two steps together, we will decease the step of the sign up process, and it won't be looking too long.</t>
    </r>
  </si>
  <si>
    <t>Invite Team</t>
  </si>
  <si>
    <t>3 fields and 2 CTA at the buttom</t>
  </si>
  <si>
    <t>[Invite] &amp; [Skip this]</t>
  </si>
  <si>
    <t>Email Addresses of colleagues the user wants to invite</t>
  </si>
  <si>
    <t>Invite colleagues</t>
  </si>
  <si>
    <t>No, because the user can use the productboard without inviting the team</t>
  </si>
  <si>
    <t>Bad</t>
  </si>
  <si>
    <r>
      <rPr>
        <rFont val="Arial"/>
        <color theme="1"/>
      </rPr>
      <t>We can address it by adding a CTA in the previous step that informs the user if he want to continue by inviting a team or not. For example, we can add a pop-up window in the previous step, when the user clicks on Creating the workspace, and in this pop-up we can display this "</t>
    </r>
    <r>
      <rPr>
        <rFont val="Arial"/>
        <b/>
        <i/>
        <color theme="1"/>
      </rPr>
      <t xml:space="preserve">invite colleagues </t>
    </r>
    <r>
      <rPr>
        <rFont val="Arial"/>
        <color theme="1"/>
      </rPr>
      <t xml:space="preserve">and </t>
    </r>
    <r>
      <rPr>
        <rFont val="Arial"/>
        <b/>
        <i/>
        <color theme="1"/>
      </rPr>
      <t>Skip this</t>
    </r>
    <r>
      <rPr>
        <rFont val="Arial"/>
        <color theme="1"/>
      </rPr>
      <t>". 
This way, we can reduce the steps in the sign-up process and only those who want to invite their colleagues can continue the option of inviting colleagues.</t>
    </r>
  </si>
  <si>
    <r>
      <rPr>
        <rFont val="Arial"/>
        <color theme="1"/>
      </rPr>
      <t>[ACTION] If we run an a/b experiment by changing the copy from "</t>
    </r>
    <r>
      <rPr>
        <rFont val="Arial"/>
        <b/>
        <i/>
        <color theme="1"/>
      </rPr>
      <t>Invite Colleagues</t>
    </r>
    <r>
      <rPr>
        <rFont val="Arial"/>
        <color theme="1"/>
      </rPr>
      <t>" to "</t>
    </r>
    <r>
      <rPr>
        <rFont val="Arial"/>
        <b/>
        <i/>
        <color theme="1"/>
      </rPr>
      <t>Invite your team</t>
    </r>
    <r>
      <rPr>
        <rFont val="Arial"/>
        <color theme="1"/>
      </rPr>
      <t>", [OUTCOME] we can test whether this CTA copy performs better or leave the first one [Theory] because this new copy can encourage the user to invite his/her colleagues, and it reflects that productboard is a place where you can make your team even stronger.</t>
    </r>
  </si>
  <si>
    <t>Password</t>
  </si>
  <si>
    <t>Survey</t>
  </si>
  <si>
    <t>One CTA at the buttom and a bunch of information to complete (e.g., Whether I'm in Marketing, Project Management, etc. Whether I want to use Product Board for myself or my team etc.)</t>
  </si>
  <si>
    <t>Show me how it works</t>
  </si>
  <si>
    <t xml:space="preserve">to tailor Productboard by providing some information including the size of the company and the role of the user in that company and whether he wants productboard for just himslef or the entire team etc. </t>
  </si>
  <si>
    <t>Tailor Productboard to user</t>
  </si>
  <si>
    <r>
      <rPr>
        <rFont val="Arial"/>
        <color theme="1"/>
      </rPr>
      <t>[ACTION] If we run an a/b experiment by changing the copy from "</t>
    </r>
    <r>
      <rPr>
        <rFont val="Arial"/>
        <b/>
        <i/>
        <color theme="1"/>
      </rPr>
      <t>Show me how it works</t>
    </r>
    <r>
      <rPr>
        <rFont val="Arial"/>
        <color theme="1"/>
      </rPr>
      <t>" to "</t>
    </r>
    <r>
      <rPr>
        <rFont val="Arial"/>
        <b/>
        <i/>
        <color theme="1"/>
      </rPr>
      <t>Give me a start guide</t>
    </r>
    <r>
      <rPr>
        <rFont val="Arial"/>
        <color theme="1"/>
      </rPr>
      <t>", [OUTCOME] we can test whether this CTA copy performs better or leave the first one [Theory] because this copy is similar to what the user sees on the next step (</t>
    </r>
    <r>
      <rPr>
        <rFont val="Arial"/>
        <b/>
        <i/>
        <color theme="1"/>
      </rPr>
      <t>Your quick start guide</t>
    </r>
    <r>
      <rPr>
        <rFont val="Arial"/>
        <color theme="1"/>
      </rPr>
      <t>), this way, we can be more consistent in our messages.</t>
    </r>
  </si>
  <si>
    <t>User in-product</t>
  </si>
  <si>
    <t>Average</t>
  </si>
  <si>
    <t>Sum</t>
  </si>
  <si>
    <r>
      <rPr>
        <rFont val="Arial"/>
        <b/>
        <color theme="1"/>
      </rPr>
      <t>Scenario:</t>
    </r>
    <r>
      <rPr>
        <rFont val="Arial"/>
        <b val="0"/>
        <color theme="1"/>
      </rPr>
      <t xml:space="preserve"> The director of PM at Productboard has looked at your analysis of experiments in Tab 1 and wants to better understand how you will implement these experiments, your hypothesis on the impacts, how you will prioritize them, and how you will measure success. Not every experiment needs to be expanded on, so he asks to choose your top 5.</t>
    </r>
  </si>
  <si>
    <r>
      <rPr>
        <rFont val="Arial"/>
        <b/>
        <color theme="1"/>
      </rPr>
      <t xml:space="preserve">Skill: </t>
    </r>
    <r>
      <rPr>
        <rFont val="Arial"/>
        <b val="0"/>
        <color theme="1"/>
      </rPr>
      <t>You will implement the ICE framework to prioritize your experiments by giving them a growth score. Note: Further analysis and input from engineering and design does occur in the wild, which is removed from the scope of this exercise.</t>
    </r>
  </si>
  <si>
    <r>
      <rPr>
        <rFont val="Arial"/>
        <b/>
        <color theme="1"/>
      </rPr>
      <t xml:space="preserve">Instructions: </t>
    </r>
    <r>
      <rPr>
        <rFont val="Arial"/>
        <b val="0"/>
        <color theme="1"/>
      </rPr>
      <t>Complete the task with 1 row (experiment) at a time.</t>
    </r>
  </si>
  <si>
    <t xml:space="preserve">1. Use 5 experiments from Tab 1 - Column W and place them into Tab 2 - Column B. </t>
  </si>
  <si>
    <t>2. In column D, elaborate on what is being tested</t>
  </si>
  <si>
    <t>3. In column E, provide a qualitative and quantitative hypothesis of what will happen</t>
  </si>
  <si>
    <t>4. In column F, describe the rationale of why you chose this experiment from any social proof, previous experience, or from any research.</t>
  </si>
  <si>
    <t>5 In column G, provide a list of stakeholders who would need to be involved to release this experiment and why</t>
  </si>
  <si>
    <t>6. In column H, document what more information is needed for you to execute on this experiment and document what assumptions you are making</t>
  </si>
  <si>
    <t>7. In column I, provide a list of metrics that need to be measured in this experiment that would verify if the experiment failed or passed</t>
  </si>
  <si>
    <t>8. In column J, provide a time-frame the experiment should be run for</t>
  </si>
  <si>
    <t>9 In column K, provide a % of users you would want to experiment with</t>
  </si>
  <si>
    <t>10. In column M - P, apply the ICE framework to your experiments</t>
  </si>
  <si>
    <t xml:space="preserve">B </t>
  </si>
  <si>
    <t>C</t>
  </si>
  <si>
    <r>
      <rPr>
        <rFont val="Arial"/>
        <b/>
        <color theme="1"/>
      </rPr>
      <t xml:space="preserve">Experiment Brief </t>
    </r>
    <r>
      <rPr>
        <rFont val="Arial"/>
        <b/>
        <color theme="1"/>
      </rPr>
      <t>(from Tab 1)</t>
    </r>
  </si>
  <si>
    <t>Which Step of Funnel (name and #) does this experiment impact?</t>
  </si>
  <si>
    <t>Describe what in the experiment is being tested?</t>
  </si>
  <si>
    <t>Hypothesis (What do you think will happen qualitatively and quantitatively?)</t>
  </si>
  <si>
    <t>Rationale (Why do you want to try this experiment?)</t>
  </si>
  <si>
    <t>Stakeholders (What other titles in the company needs to be involved? and why?)</t>
  </si>
  <si>
    <t>What more info do you need to decide this is an experiment you want to run? What assumptions are we making?</t>
  </si>
  <si>
    <t>What metrics should be measured?</t>
  </si>
  <si>
    <t>Length of time to run the experiment?</t>
  </si>
  <si>
    <t>What % of sign up users would you want to experiment with?</t>
  </si>
  <si>
    <t>What Friction is being removed?</t>
  </si>
  <si>
    <t>ICE - Impact? (be quantitative)</t>
  </si>
  <si>
    <t>ICE- Confidence</t>
  </si>
  <si>
    <t>ICE- Ease</t>
  </si>
  <si>
    <t>ICE - Growth Score</t>
  </si>
  <si>
    <t>[ACTION] we can remove the top 50% of the step (role, team size, team use) [OUTCOME] so that we can inc the step completion rate from 92% [THEORY] because we would be decreasing 67% of the clicks on this step.</t>
  </si>
  <si>
    <t>9 - survey</t>
  </si>
  <si>
    <t>We would remove the top portion of this step and only include the button. The screen would then only ask the user for bottom step that starts with "what are you hoping productboard will help you do?" The other steps we removed, we can look into tools like Clearbit that will help us collect the same data.</t>
  </si>
  <si>
    <t>We would remove 67% of the clicks and 4 fields from this step. At the moment the conversion on this step is 92%, but I think we can inc it to 95% as a result of this step.</t>
  </si>
  <si>
    <t>We are asking for too many fields at this step and the user is likely exhausted from going through 9 steps. We need to trim the sign up process to only the bare minimum items we need to get the user to the time-to-value as fast as possible.</t>
  </si>
  <si>
    <t>Sales team to determine how they use the survey data. Marketing team to determine how they use the survey data. Design team to create mockups of the new last step. Engineering team to unmap those fields and remove them from the back end, while keeping historical data.</t>
  </si>
  <si>
    <t>How sales uses this data? Is this data used for marketing engagement and onboarding?</t>
  </si>
  <si>
    <t xml:space="preserve">Higher step 9 conversions and higher total conversions of the funnel. </t>
  </si>
  <si>
    <t>2-weeks</t>
  </si>
  <si>
    <t>Collecting additional data that can be obtained for 3rd party resources. Asking for too much data</t>
  </si>
  <si>
    <r>
      <rPr>
        <rFont val="Arial"/>
        <color theme="1"/>
      </rPr>
      <t>[ACTION] If we run an a/b experiment by changing the copy from "</t>
    </r>
    <r>
      <rPr>
        <rFont val="Arial"/>
        <b/>
        <i/>
        <color theme="1"/>
      </rPr>
      <t>Sign up with work email</t>
    </r>
    <r>
      <rPr>
        <rFont val="Arial"/>
        <color theme="1"/>
      </rPr>
      <t>" to "</t>
    </r>
    <r>
      <rPr>
        <rFont val="Arial"/>
        <b/>
        <i/>
        <color theme="1"/>
      </rPr>
      <t>Get Verification Link</t>
    </r>
    <r>
      <rPr>
        <rFont val="Arial"/>
        <color theme="1"/>
      </rPr>
      <t>", [OUTCOME] we can test whether this CTA copy performs better or leave the first one [Theory] because this new copy can remove some uncertainty and inform the user about the next step and what to expect.</t>
    </r>
  </si>
  <si>
    <t>2 - Free Trial Sign Up</t>
  </si>
  <si>
    <r>
      <rPr>
        <rFont val="Arial"/>
        <color theme="1"/>
      </rPr>
      <t xml:space="preserve">Change the CTA copy to </t>
    </r>
    <r>
      <rPr>
        <rFont val="Arial"/>
        <b/>
        <i/>
        <color theme="1"/>
      </rPr>
      <t xml:space="preserve">Get verification link. </t>
    </r>
    <r>
      <rPr>
        <rFont val="Arial"/>
        <color theme="1"/>
      </rPr>
      <t>So, we are changing only the text of the CTA and leave everything as it is.</t>
    </r>
  </si>
  <si>
    <t>As we said earlier in Tab 1, by changing this text, we might remove some uncertainty about the next step, and guide the user through the journey.</t>
  </si>
  <si>
    <t>We are asking the user to sign up with work email, but it might be better to let the user about the next step by chnaging the copy. Also, the name work email may sound like a company email, while it's required to sign-up with company email, it can be personal email as well</t>
  </si>
  <si>
    <t>Design team to chnage the copy of the CTA</t>
  </si>
  <si>
    <t>higher Step 2 conversions and higher total conversions of the funnel</t>
  </si>
  <si>
    <t>Uncertainty about the next step</t>
  </si>
  <si>
    <r>
      <rPr>
        <rFont val="Arial"/>
        <color theme="1"/>
      </rPr>
      <t>[ACTION] If we run an a/b experiment by changing the copy from "</t>
    </r>
    <r>
      <rPr>
        <rFont val="Arial"/>
        <b/>
        <i/>
        <color theme="1"/>
      </rPr>
      <t>Activate account</t>
    </r>
    <r>
      <rPr>
        <rFont val="Arial"/>
        <color theme="1"/>
      </rPr>
      <t>" to "</t>
    </r>
    <r>
      <rPr>
        <rFont val="Arial"/>
        <b/>
        <i/>
        <color theme="1"/>
      </rPr>
      <t>Activate and create workspace</t>
    </r>
    <r>
      <rPr>
        <rFont val="Arial"/>
        <color theme="1"/>
      </rPr>
      <t>", [OUTCOME] remove uncertainty again and let the user know what is the next step in his sign up process [Theory] because this new copy informs the user that the next step is creating the work space, and this will show that he is close enough to the end of the sign up process.</t>
    </r>
  </si>
  <si>
    <t>4 - Activate Account in email</t>
  </si>
  <si>
    <r>
      <rPr>
        <rFont val="Arial"/>
        <color theme="1"/>
      </rPr>
      <t xml:space="preserve">Change the CTA copy to </t>
    </r>
    <r>
      <rPr>
        <rFont val="Arial"/>
        <b/>
        <i/>
        <color theme="1"/>
      </rPr>
      <t xml:space="preserve">Activate and creat workspace. </t>
    </r>
    <r>
      <rPr>
        <rFont val="Arial"/>
        <color theme="1"/>
      </rPr>
      <t>So, we are changing only the text of the CTA and leave everything as it is.</t>
    </r>
  </si>
  <si>
    <t>the same as above, by changing the text, we would guide the user throuhg his/her journey and know what's the next step before even get to it. It is more like encouraging the user to continue on their journey by giving a hint about what the next step will be</t>
  </si>
  <si>
    <t xml:space="preserve">Same as above, in the link we have sent the user in his/her email address, we'he asked to activate account, and this may lead to some confusion, because the user might think that the sign-up process is limited to the account activation part, while it'll go beyond that step, that's why it'll be better to give a hint about what's required next. </t>
  </si>
  <si>
    <t>higher Step 4 conversions and higher total conversions of the funnel</t>
  </si>
  <si>
    <r>
      <rPr>
        <rFont val="Arial"/>
        <color theme="1"/>
      </rPr>
      <t>[ACTION] If we integrate this step with the followed one (</t>
    </r>
    <r>
      <rPr>
        <rFont val="Arial"/>
        <b/>
        <i/>
        <color theme="1"/>
      </rPr>
      <t>creating workspace</t>
    </r>
    <r>
      <rPr>
        <rFont val="Arial"/>
        <color theme="1"/>
      </rPr>
      <t>), [OUTCOME] we would be consistent in our messaging [Theory] because in the previous step, we made it clear to the user that in this step, he/she will create his/her workspace, and by integrating these two steps together, we will decease the step of the sign up process, and it won't be looking too long.</t>
    </r>
  </si>
  <si>
    <t>5 - Submit Personal Info
AND 
6 - Name your work space</t>
  </si>
  <si>
    <r>
      <rPr>
        <rFont val="Arial"/>
        <color theme="1"/>
      </rPr>
      <t xml:space="preserve">We would integrate step 5 and 6 in one. So the step 5 will be about Submitting perosnal inof </t>
    </r>
    <r>
      <rPr>
        <rFont val="Arial"/>
        <b/>
        <i/>
        <color theme="1"/>
      </rPr>
      <t xml:space="preserve">AND </t>
    </r>
    <r>
      <rPr>
        <rFont val="Arial"/>
        <color theme="1"/>
      </rPr>
      <t>naming the workspace and then cancel the step 6 (because this step will be integrated with step five).</t>
    </r>
  </si>
  <si>
    <t>By integrating step 6 with step 5, we would decrease the number of steps the user goes through by one step.</t>
  </si>
  <si>
    <t xml:space="preserve">In the previous step (4), we promised the user that he is going to create his workspace in his/her next step, so, it would normal to let the user create his/her workspace and not delayed to the next, because he was expecting to create it in this step. </t>
  </si>
  <si>
    <t>Engineering team to remove the step 6 and integrate it on step 6. Design team to create mockups of the new step 5&amp;6 integrated</t>
  </si>
  <si>
    <t>higher new Step 5 (which will be step 5&amp;6 integrated) conversions and higher total conversions of the funnel</t>
  </si>
  <si>
    <t>3-weeks</t>
  </si>
  <si>
    <t>inconsistency between step 4 and step 5</t>
  </si>
  <si>
    <r>
      <rPr>
        <rFont val="Arial"/>
        <color theme="1"/>
      </rPr>
      <t>[ACTION] If we run an a/b experiment by changing the copy from "</t>
    </r>
    <r>
      <rPr>
        <rFont val="Arial"/>
        <b/>
        <i/>
        <color theme="1"/>
      </rPr>
      <t>Invite Colleagues</t>
    </r>
    <r>
      <rPr>
        <rFont val="Arial"/>
        <color theme="1"/>
      </rPr>
      <t>" to "</t>
    </r>
    <r>
      <rPr>
        <rFont val="Arial"/>
        <b/>
        <i/>
        <color theme="1"/>
      </rPr>
      <t>Invite your team</t>
    </r>
    <r>
      <rPr>
        <rFont val="Arial"/>
        <color theme="1"/>
      </rPr>
      <t>", [OUTCOME] we can test whether this CTA copy performs better or leave the first one [Theory] because this new copy can encourage the user to invite his/her colleagues, and it reflects that productboard is a place where you can make your team even stronger.</t>
    </r>
  </si>
  <si>
    <t>7 - Invite Team</t>
  </si>
  <si>
    <r>
      <rPr>
        <rFont val="Arial"/>
        <color theme="1"/>
      </rPr>
      <t xml:space="preserve">Change the CTA copy to </t>
    </r>
    <r>
      <rPr>
        <rFont val="Arial"/>
        <b/>
        <i/>
        <color theme="1"/>
      </rPr>
      <t xml:space="preserve">Invite your team. </t>
    </r>
    <r>
      <rPr>
        <rFont val="Arial"/>
        <color theme="1"/>
      </rPr>
      <t>So, we are changing only the text of the CTA and leave everything as it is.</t>
    </r>
  </si>
  <si>
    <t xml:space="preserve">By displaying this new copy rather than the old one, we would start building a good reputation by showing to users that they can invite their teams and make the product together </t>
  </si>
  <si>
    <r>
      <rPr>
        <rFont val="Arial"/>
        <color theme="1"/>
      </rPr>
      <t xml:space="preserve">The rational of this, is thgat the word </t>
    </r>
    <r>
      <rPr>
        <rFont val="Arial"/>
        <b/>
        <i/>
        <color theme="1"/>
      </rPr>
      <t xml:space="preserve">colleague </t>
    </r>
    <r>
      <rPr>
        <rFont val="Arial"/>
        <color theme="1"/>
      </rPr>
      <t xml:space="preserve">is vague, and it could refer to a colleague that he is not working with you on the same project or working for another departement. But, the word </t>
    </r>
    <r>
      <rPr>
        <rFont val="Arial"/>
        <b/>
        <i/>
        <color theme="1"/>
      </rPr>
      <t xml:space="preserve">Team </t>
    </r>
    <r>
      <rPr>
        <rFont val="Arial"/>
        <color theme="1"/>
      </rPr>
      <t>has more impact, because we work as a team for a specific project and an identified goals to acheive</t>
    </r>
  </si>
  <si>
    <t>higher Step 7 conversions and higher total conversions of the funnel</t>
  </si>
  <si>
    <r>
      <rPr>
        <rFont val="Arial"/>
        <color theme="1"/>
      </rPr>
      <t xml:space="preserve">perception of the word </t>
    </r>
    <r>
      <rPr>
        <rFont val="Arial"/>
        <b/>
        <i/>
        <color theme="1"/>
      </rPr>
      <t>colleague</t>
    </r>
  </si>
  <si>
    <r>
      <rPr>
        <rFont val="Arial"/>
        <b/>
        <color theme="1"/>
      </rPr>
      <t xml:space="preserve">Scenario: </t>
    </r>
    <r>
      <rPr>
        <rFont val="Arial"/>
        <b val="0"/>
        <color theme="1"/>
      </rPr>
      <t>After doing such an amazing job for Productboard with signup, you have now been brought onto a project at Slack. Slack's revenues have been decreasing by 5% and leadership believes it's an activation problem due to not understanding what we should be guiding our users to-do in our product when the user is signing up.</t>
    </r>
  </si>
  <si>
    <t>You've been tasked to define a more robust activation funnel to achieve shorter time-to-value, product usage, and revenue. You will 
(1) be able to tell Marketing and the Growth PM focusing on acquisition which segment of our users are performing these actions best and 
(2) determine what moments and metrics we should be driving our users towards. NOTE: The rest of the project relates entirely to Slack or a realtime messaging service like Slack.</t>
  </si>
  <si>
    <r>
      <rPr>
        <rFont val="Arial"/>
        <color rgb="FF000000"/>
      </rPr>
      <t xml:space="preserve">You will 
(1) be able to tell Marketing and Growth PM focusing on acquisition which segment of our users are performing these actions best
(2) determine what moments and metrics we should be driving our users towards. 
</t>
    </r>
    <r>
      <rPr>
        <rFont val="Arial"/>
        <b/>
        <color rgb="FF000000"/>
      </rPr>
      <t>NOTE</t>
    </r>
    <r>
      <rPr>
        <rFont val="Arial"/>
        <color rgb="FF000000"/>
      </rPr>
      <t>: The rest of the project relates entirely to Slack or a realtime messaging service like Slack.</t>
    </r>
  </si>
  <si>
    <r>
      <rPr>
        <rFont val="Arial"/>
        <b/>
        <color theme="1"/>
      </rPr>
      <t xml:space="preserve">Skill: </t>
    </r>
    <r>
      <rPr>
        <rFont val="Arial"/>
        <b val="0"/>
        <color theme="1"/>
      </rPr>
      <t xml:space="preserve">Before doing any analysis, you want to start off with a hypothesis. Before you quantitatively measure the activation funnel, define your understanding of the product by creating a hypothesis of what the Habit, Aha, and Setup moments are for Slack. </t>
    </r>
  </si>
  <si>
    <t xml:space="preserve">After signing up for Slack, determine what actions in the product and marketing messages the user is driven to. From the actions you are driven to as a new user, determine which actions are leading you to an aha moment to see value of the product or setup moment that are leading you to properly setup your account. </t>
  </si>
  <si>
    <t xml:space="preserve">An example of an Setup Moment is that they market themselves as a replacement of Email on their marketing website, so when you start using the product, they likely get you to take action via Slack what you would normally do via email. </t>
  </si>
  <si>
    <t>An example of Aha Moment is that they get you to engage with the Slackbot or your college, so you can engaging with others, weather that is a human, bots, or other 3rd party services to see value of the tool.</t>
  </si>
  <si>
    <t>Create a hypothesis of what the habit, aha, and setup moments should be for Slack. (Note: this is only for data-dump and for critical thinking.)</t>
  </si>
  <si>
    <t>The answers here are hypothesis based on your experience of starting to use Slack. In addition to creating a new account on Slack, browse through their features page to spark ideas of potential aha moments: https://slack.com/features.</t>
  </si>
  <si>
    <r>
      <rPr>
        <rFont val="Arial"/>
        <color theme="1"/>
      </rPr>
      <t xml:space="preserve">1. List 4 in-product moments you think that if done often would lead a </t>
    </r>
    <r>
      <rPr>
        <rFont val="Arial"/>
        <b/>
        <color rgb="FF4285F4"/>
      </rPr>
      <t>Slack</t>
    </r>
    <r>
      <rPr>
        <rFont val="Arial"/>
        <color theme="1"/>
      </rPr>
      <t xml:space="preserve"> user to build a habit in Row 18-21</t>
    </r>
  </si>
  <si>
    <r>
      <rPr>
        <rFont val="Arial"/>
        <color theme="1"/>
      </rPr>
      <t xml:space="preserve">2. List 4 aha moments in-product that you think if reached, seen, or experienced would get a user to understand the value provided by </t>
    </r>
    <r>
      <rPr>
        <rFont val="Arial"/>
        <b/>
        <color rgb="FF4285F4"/>
      </rPr>
      <t>Slack</t>
    </r>
    <r>
      <rPr>
        <rFont val="Arial"/>
        <color theme="1"/>
      </rPr>
      <t xml:space="preserve"> in Row 15-19</t>
    </r>
  </si>
  <si>
    <r>
      <rPr>
        <rFont val="Arial"/>
        <color theme="1"/>
      </rPr>
      <t xml:space="preserve">2. List 4 aha moments in-product that you think if reached, seen, or experienced would get a user to understand the value provided by </t>
    </r>
    <r>
      <rPr>
        <rFont val="Arial"/>
        <b/>
        <color rgb="FF4285F4"/>
      </rPr>
      <t>Slack</t>
    </r>
    <r>
      <rPr>
        <rFont val="Arial"/>
        <color theme="1"/>
      </rPr>
      <t xml:space="preserve"> in Row 31-34.</t>
    </r>
  </si>
  <si>
    <t>Moment that lead to Habit:</t>
  </si>
  <si>
    <t>Only use Slack, not email, for internal messages</t>
  </si>
  <si>
    <t>checking tagged messages in a group chat</t>
  </si>
  <si>
    <t>message anyone from the team without the need for an email address</t>
  </si>
  <si>
    <t>Learn about your teammates (from other departements) by consulting their profiles and even getting their phone number when possible</t>
  </si>
  <si>
    <t>Sign in and stay active in multiple workspaces</t>
  </si>
  <si>
    <t>Moment that lead to Aha:</t>
  </si>
  <si>
    <t>Getting notifications from team on a group channel</t>
  </si>
  <si>
    <t>Stay connected and up to date by installing the phone app as well as the website</t>
  </si>
  <si>
    <t>Find other general workspaces, not only those related to your company, and engage with the community that you like</t>
  </si>
  <si>
    <t>Use direct channel to communicate with a cpecific team member</t>
  </si>
  <si>
    <t>Getting access to documents and files that have been saved before</t>
  </si>
  <si>
    <t>Moment that lead to Setup:</t>
  </si>
  <si>
    <t>Engage in a frequency faster than email while being mobile</t>
  </si>
  <si>
    <t>Create your own workspace or even a new channel within a workspace</t>
  </si>
  <si>
    <t>Integrate a third party app</t>
  </si>
  <si>
    <t>invite a team member</t>
  </si>
  <si>
    <t>Set up the profile by adding more information, like phone number, etc.</t>
  </si>
  <si>
    <r>
      <rPr>
        <rFont val="Arial"/>
        <b/>
        <color theme="1"/>
      </rPr>
      <t xml:space="preserve">Scenario: </t>
    </r>
    <r>
      <rPr>
        <rFont val="Arial"/>
        <b val="0"/>
        <color theme="1"/>
      </rPr>
      <t xml:space="preserve">The VP of Product took your team's hypothesis and narrowed down them down to 3 moments and 3 metrics each fro Habit, Aha, and Setup analysis. The ones provided could include your hypothesis from Tab 3, but if they do not, that does not mean yours hypothesis is not valid. With the VP's experience, he is simply able to narrow down the list for us. </t>
    </r>
  </si>
  <si>
    <r>
      <rPr>
        <rFont val="Arial"/>
        <color rgb="FF000000"/>
      </rPr>
      <t>You need to conduct an analysis on what habit moments and metrics drive users to long-term activation.</t>
    </r>
    <r>
      <rPr>
        <rFont val="Arial"/>
        <b/>
        <color rgb="FF000000"/>
      </rPr>
      <t xml:space="preserve"> 
Remember: </t>
    </r>
    <r>
      <rPr>
        <rFont val="Arial"/>
        <color rgb="FF000000"/>
      </rPr>
      <t xml:space="preserve">Long-term activation would be defined by the metric with the highest % overlap curve. </t>
    </r>
  </si>
  <si>
    <r>
      <rPr>
        <rFont val="Arial"/>
        <color rgb="FF000000"/>
      </rPr>
      <t>The habit, aha, and setup moments will be shared across</t>
    </r>
    <r>
      <rPr>
        <rFont val="Arial"/>
        <b/>
        <color rgb="FF000000"/>
      </rPr>
      <t xml:space="preserve"> next three tabs one for each moment</t>
    </r>
    <r>
      <rPr>
        <rFont val="Arial"/>
        <color rgb="FF000000"/>
      </rPr>
      <t>. 
In this tab, you will analyze just habit moments/metrics and determine whether each of these 3 habit moments affect activation. This is important to know because then we can tailor our product to include the features that allow our users to achieve activation faster. 3 Habit Moments and 3 Habit Metrics are pre-selected for you along with users who completed actions and retained for each of the 3 moments.</t>
    </r>
  </si>
  <si>
    <t>Habit 1 analysis is on row 18-20, habit 2 analysis is on row 30-36, and habit 3 analysis is on row 42-48.</t>
  </si>
  <si>
    <r>
      <rPr>
        <rFont val="Arial"/>
        <b/>
        <color theme="1"/>
      </rPr>
      <t xml:space="preserve">Skills: 
</t>
    </r>
    <r>
      <rPr>
        <rFont val="Arial"/>
        <b val="0"/>
        <color theme="1"/>
      </rPr>
      <t>(1) calculate % overlap to measure the relationship of % overlap to habit metric
(2) create line charts to visualize the relationship of the metric
(3) analyze which are the primary habit moments and metric that lead to long-term activation.</t>
    </r>
  </si>
  <si>
    <r>
      <rPr>
        <rFont val="Arial"/>
        <b/>
        <color theme="1"/>
      </rPr>
      <t xml:space="preserve">Instructions: </t>
    </r>
    <r>
      <rPr>
        <rFont val="Arial"/>
        <b val="0"/>
        <color theme="1"/>
      </rPr>
      <t>Place any notes, thoughts, comments in the "Observations (Personal Notes)" box in column M -O for yourself as you may want them in the future</t>
    </r>
  </si>
  <si>
    <r>
      <rPr>
        <rFont val="Arial"/>
        <b/>
        <color theme="1"/>
      </rPr>
      <t xml:space="preserve">1. </t>
    </r>
    <r>
      <rPr>
        <rFont val="Arial"/>
        <b val="0"/>
        <color theme="1"/>
      </rPr>
      <t xml:space="preserve">Calculate the % overlap for each moment in Column F, </t>
    </r>
  </si>
  <si>
    <r>
      <rPr>
        <rFont val="Arial"/>
        <b/>
        <color theme="1"/>
      </rPr>
      <t xml:space="preserve">2. </t>
    </r>
    <r>
      <rPr>
        <rFont val="Arial"/>
        <b val="0"/>
        <color theme="1"/>
      </rPr>
      <t xml:space="preserve">Create a line-graph for each moment in Column H-K to visualize the % Overlap from Column F vs Habit Metric from column A, </t>
    </r>
  </si>
  <si>
    <r>
      <rPr>
        <rFont val="Arial"/>
        <b/>
        <color theme="1"/>
      </rPr>
      <t xml:space="preserve">3. </t>
    </r>
    <r>
      <rPr>
        <rFont val="Arial"/>
        <b val="0"/>
        <color theme="1"/>
      </rPr>
      <t>Analyze the data for each moment to determine if based on your analysis, this moment leads to long-term activation or not, and share your reasoning in Column Q - S</t>
    </r>
  </si>
  <si>
    <r>
      <rPr>
        <rFont val="Arial"/>
        <b/>
        <color theme="1"/>
      </rPr>
      <t xml:space="preserve">4. </t>
    </r>
    <r>
      <rPr>
        <rFont val="Arial"/>
        <b val="0"/>
        <color theme="1"/>
      </rPr>
      <t>Once Steps 1 - 3 are completed, determine which of the 3 options would the Primary Habit Moment and Metric and explain why in the 2 boxes on the bottom right of this Tab in Row  51.</t>
    </r>
  </si>
  <si>
    <r>
      <rPr>
        <rFont val="Arial"/>
        <b/>
        <color theme="1"/>
      </rPr>
      <t xml:space="preserve">Habit Moment 1: </t>
    </r>
    <r>
      <rPr>
        <rFont val="Arial"/>
        <b val="0"/>
        <color theme="1"/>
      </rPr>
      <t xml:space="preserve">look for a communication tool outside of email to engage with teammates   </t>
    </r>
    <r>
      <rPr>
        <rFont val="Arial"/>
        <b/>
        <color theme="1"/>
      </rPr>
      <t xml:space="preserve">                                     </t>
    </r>
  </si>
  <si>
    <r>
      <rPr>
        <rFont val="Arial"/>
        <b/>
        <color theme="1"/>
      </rPr>
      <t xml:space="preserve">Habit Metric 1: </t>
    </r>
    <r>
      <rPr>
        <rFont val="Arial"/>
        <b val="0"/>
        <color theme="1"/>
      </rPr>
      <t># of Team Slack Messages Sent in 7-days</t>
    </r>
  </si>
  <si>
    <t>Observations (Personal Notes):
Sending 20000 messages a week has the largest %overlap with 58%. Therefore this is the ideal optimum is to send 20000 to get our users to create a habit.</t>
  </si>
  <si>
    <t>Does doing this Habit Metric affect activation? If yes, what is the ideal metric?</t>
  </si>
  <si>
    <t>Yes. The ideal metric is 20000 messages a week</t>
  </si>
  <si>
    <t># of</t>
  </si>
  <si>
    <t>User</t>
  </si>
  <si>
    <t>Messages Sent</t>
  </si>
  <si>
    <t>Action Completed</t>
  </si>
  <si>
    <t>Retained + Action NOT completed</t>
  </si>
  <si>
    <t>Retained + Action completed</t>
  </si>
  <si>
    <t>Total Users</t>
  </si>
  <si>
    <t>% Overlap</t>
  </si>
  <si>
    <t>Why?</t>
  </si>
  <si>
    <t xml:space="preserve">Because as uers send messages over and over again outside of email lto engage with teammates, they became attached to it, beasue they have the possibility to use email for this prupose, but they prefer to use slack instead and this creates a habit for them for sure. </t>
  </si>
  <si>
    <r>
      <rPr>
        <rFont val="Arial"/>
        <b/>
        <color theme="1"/>
      </rPr>
      <t xml:space="preserve">Habit Moment 2: </t>
    </r>
    <r>
      <rPr>
        <rFont val="Arial"/>
        <b val="0"/>
        <color theme="1"/>
      </rPr>
      <t xml:space="preserve">Only use Slack for internal messages, not email   </t>
    </r>
    <r>
      <rPr>
        <rFont val="Arial"/>
        <b/>
        <color theme="1"/>
      </rPr>
      <t xml:space="preserve">                                     </t>
    </r>
  </si>
  <si>
    <r>
      <rPr>
        <rFont val="Arial"/>
        <b/>
        <color theme="1"/>
      </rPr>
      <t xml:space="preserve">Habit Metric 2: </t>
    </r>
    <r>
      <rPr>
        <rFont val="Arial"/>
        <b val="0"/>
        <color theme="1"/>
      </rPr>
      <t># of sessions (log-ins) per day</t>
    </r>
  </si>
  <si>
    <t>Observations (Personal Notes):
Based on the results of %overlap of this provided metric, we see that (3+) &amp; (4+) &amp; (6+) log-ins share the same %overlap, which is 45%. and this make difficult to decide what's the ideal optimum that leads user to create a habit.</t>
  </si>
  <si>
    <t>NO</t>
  </si>
  <si>
    <t>Session</t>
  </si>
  <si>
    <t>(log-ins)</t>
  </si>
  <si>
    <t>1+</t>
  </si>
  <si>
    <t>2+</t>
  </si>
  <si>
    <t>Because the largest %overlap is 45% and it's shared between three log-ins (3+, 4+, 6+), which make it hard to choose which # of log-ins that get our users to create a habit. Therefore, we can't decide based on the results of this habit metric</t>
  </si>
  <si>
    <t>3+</t>
  </si>
  <si>
    <t>4+</t>
  </si>
  <si>
    <t>5+</t>
  </si>
  <si>
    <t>6+</t>
  </si>
  <si>
    <t>7+</t>
  </si>
  <si>
    <r>
      <rPr>
        <rFont val="Arial"/>
        <b/>
        <color theme="1"/>
      </rPr>
      <t xml:space="preserve">Habit Moment 3: </t>
    </r>
    <r>
      <rPr>
        <rFont val="Arial"/>
        <b val="0"/>
        <color theme="1"/>
      </rPr>
      <t xml:space="preserve">Checking a notification when something is addressed to me                      </t>
    </r>
  </si>
  <si>
    <r>
      <rPr>
        <rFont val="Arial"/>
        <b/>
        <color theme="1"/>
      </rPr>
      <t xml:space="preserve">Habit Metric 3: </t>
    </r>
    <r>
      <rPr>
        <rFont val="Arial"/>
        <b val="0"/>
        <color theme="1"/>
      </rPr>
      <t># of messages they were linked to (with an @) that brought them back to Slack</t>
    </r>
  </si>
  <si>
    <r>
      <rPr>
        <rFont val="Arial"/>
        <b/>
        <color theme="1"/>
      </rPr>
      <t xml:space="preserve">Observations (Personal Notes):
Checking a (1+) message has the largest %overlap, and this make it, </t>
    </r>
    <r>
      <rPr>
        <rFont val="Arial"/>
        <b/>
        <i/>
        <color rgb="FF980000"/>
        <sz val="11.0"/>
      </rPr>
      <t>theoritically</t>
    </r>
    <r>
      <rPr>
        <rFont val="Arial"/>
        <b/>
        <color theme="1"/>
      </rPr>
      <t>, the ideal optimum that leads our users to create a habit.</t>
    </r>
  </si>
  <si>
    <t>Messages</t>
  </si>
  <si>
    <t xml:space="preserve">Because, when someone addresses us on a messaging app or platform, we automatically respond, that's a human nature and behaviour. Even when someone addresses us on a platform that we are not really attached to it, we respond without any further thinking about how the app is designed or what are its amazing features or something like that. </t>
  </si>
  <si>
    <t>Moment</t>
  </si>
  <si>
    <t>Metric</t>
  </si>
  <si>
    <r>
      <rPr>
        <rFont val="Arial"/>
        <b/>
        <color rgb="FF000000"/>
      </rPr>
      <t>What is the best Primary Habit Moment and Metric to select for Slack?</t>
    </r>
    <r>
      <rPr>
        <rFont val="Arial"/>
        <b val="0"/>
        <color rgb="FF000000"/>
      </rPr>
      <t xml:space="preserve"> (hint: what did you confirm as a Habit Action in this exercise and which action had the highest overlap - probability to positively affect activation)</t>
    </r>
  </si>
  <si>
    <t xml:space="preserve"> look for a communication tool outside of email to engage with teammates                                        </t>
  </si>
  <si>
    <t># of Team Slack Messages Sent in 7-days
(sending 20000 messages)</t>
  </si>
  <si>
    <t>Without using the data analysis, why do you think that this Habit would be the best for Slack?</t>
  </si>
  <si>
    <r>
      <rPr>
        <rFont val="Arial"/>
        <color theme="1"/>
      </rPr>
      <t>because it makes sense to rely on messages sent. As we send more messages, we engage more and more. Besides, using slack for internal messages</t>
    </r>
    <r>
      <rPr>
        <rFont val="Arial"/>
        <b/>
        <i/>
        <color theme="1"/>
      </rPr>
      <t xml:space="preserve"> (Habit moment 2)</t>
    </r>
    <r>
      <rPr>
        <rFont val="Arial"/>
        <color theme="1"/>
      </rPr>
      <t xml:space="preserve"> is the purpose of using slack in the first place. So, teammates are to use slack for internal messages anyway, whether they like the product or not, beause the company's first messaging app is slack, therefore some employees are to use it without any further thinking about how amazing it is to use slack for internla messaging. Moreover, checking notification when someone addressed to someone else </t>
    </r>
    <r>
      <rPr>
        <rFont val="Arial"/>
        <b/>
        <i/>
        <color theme="1"/>
      </rPr>
      <t>(Habit moment 3)</t>
    </r>
    <r>
      <rPr>
        <rFont val="Arial"/>
        <color theme="1"/>
      </rPr>
      <t>, is a human nature and behaviour as described before.</t>
    </r>
  </si>
  <si>
    <r>
      <rPr>
        <rFont val="Arial"/>
        <b/>
        <color theme="1"/>
      </rPr>
      <t xml:space="preserve">Scenario: </t>
    </r>
    <r>
      <rPr>
        <rFont val="Arial"/>
        <b val="0"/>
        <color theme="1"/>
      </rPr>
      <t xml:space="preserve">The VP of Product took your team's hypothesies and narrowed down them down to 3 moments and 3 metrics each fro Habit, Aha, and Setup analysis. The ones provided could include your hypothesis from Tab 3, but if they do not, that does not mean yours hypothesis is not valid. With the VP's experience, he is simply able to narrow down the list for us. </t>
    </r>
  </si>
  <si>
    <r>
      <rPr>
        <rFont val="Arial"/>
        <color rgb="FF000000"/>
      </rPr>
      <t>You need to conduct an analysis on what habit moments and metrics drive users to long-term activation.</t>
    </r>
    <r>
      <rPr>
        <rFont val="Arial"/>
        <b/>
        <color rgb="FF000000"/>
      </rPr>
      <t xml:space="preserve"> 
Remember: </t>
    </r>
    <r>
      <rPr>
        <rFont val="Arial"/>
        <color rgb="FF000000"/>
      </rPr>
      <t xml:space="preserve">Long-term activation would be defined by the metric with the highest % overlap curve. </t>
    </r>
  </si>
  <si>
    <r>
      <rPr>
        <rFont val="Arial"/>
        <color rgb="FF000000"/>
      </rPr>
      <t>The habit, aha, and setup moments will be shared across</t>
    </r>
    <r>
      <rPr>
        <rFont val="Arial"/>
        <b/>
        <color rgb="FF000000"/>
      </rPr>
      <t xml:space="preserve"> next three tabs one for each moment</t>
    </r>
    <r>
      <rPr>
        <rFont val="Arial"/>
        <color rgb="FF000000"/>
      </rPr>
      <t>. 
In this tab, you will analyze just Aha moments/metrics and determine whether each of these 3 habit moments affect activation. This is important to know because then we can tailor our product to include the features that allow our users to achieve activation faster. 3 Aha Moments and 3 Aha Metrics are pre-selected for you along with users who completed actions and retained for each of the 3 moments.</t>
    </r>
  </si>
  <si>
    <r>
      <rPr>
        <rFont val="Arial"/>
        <b/>
        <color theme="1"/>
      </rPr>
      <t xml:space="preserve">Skill: </t>
    </r>
    <r>
      <rPr>
        <rFont val="Arial"/>
        <b val="0"/>
        <color theme="1"/>
      </rPr>
      <t>From these tasks, you can apply your knowledge on how to (1) calculate % overlap to measure the relationship of % overlap to Aha metric, (2) create line charts to visualize the relationship of the metric and (3) analyze which are the primary Aha moments and metric that lead to long-term activation.</t>
    </r>
  </si>
  <si>
    <r>
      <rPr>
        <rFont val="Arial"/>
        <b/>
        <color theme="1"/>
      </rPr>
      <t xml:space="preserve">Instructions: </t>
    </r>
    <r>
      <rPr>
        <rFont val="Arial"/>
        <b val="0"/>
        <color theme="1"/>
      </rPr>
      <t>Place any notes, thoughts, comments in the "Observations (Personal Notes)" box in column M - O for yourself to view in the future.</t>
    </r>
  </si>
  <si>
    <r>
      <rPr>
        <rFont val="Arial"/>
        <b/>
        <color theme="1"/>
      </rPr>
      <t xml:space="preserve">1. </t>
    </r>
    <r>
      <rPr>
        <rFont val="Arial"/>
        <b val="0"/>
        <color theme="1"/>
      </rPr>
      <t xml:space="preserve">Calculate the % overlap for each moment in Column F, </t>
    </r>
  </si>
  <si>
    <r>
      <rPr>
        <rFont val="Arial"/>
        <b/>
        <color theme="1"/>
      </rPr>
      <t xml:space="preserve">2. </t>
    </r>
    <r>
      <rPr>
        <rFont val="Arial"/>
        <b val="0"/>
        <color theme="1"/>
      </rPr>
      <t xml:space="preserve">Create a line-graph for each moment in Column H-K to visualize the % Overlap from Column F vs aha Metric from column A, </t>
    </r>
  </si>
  <si>
    <r>
      <rPr>
        <rFont val="Arial"/>
        <b/>
        <color theme="1"/>
      </rPr>
      <t xml:space="preserve">3. </t>
    </r>
    <r>
      <rPr>
        <rFont val="Arial"/>
        <b val="0"/>
        <color theme="1"/>
      </rPr>
      <t>Analyze the data for each moment to determine if based on your analysis, this moment leads to long-term activation or not, and share your reasoning in Column Q - S</t>
    </r>
  </si>
  <si>
    <r>
      <rPr>
        <rFont val="Arial"/>
        <b/>
        <color theme="1"/>
      </rPr>
      <t xml:space="preserve">4. </t>
    </r>
    <r>
      <rPr>
        <rFont val="Arial"/>
        <b val="0"/>
        <color theme="1"/>
      </rPr>
      <t>Once Steps 1 - 3 are completed, determine which of the 3 options would the Primary aha Moment and Metric and explain why in the 2 boxes on the bottom right of this Tab in Row 50.</t>
    </r>
  </si>
  <si>
    <t>Aha Moment 1: Engaging with a message in a group channel</t>
  </si>
  <si>
    <r>
      <rPr>
        <rFont val="Arial"/>
        <b/>
        <color theme="1"/>
      </rPr>
      <t xml:space="preserve">Aha Metric 1: </t>
    </r>
    <r>
      <rPr>
        <rFont val="Arial"/>
        <b val="0"/>
        <color theme="1"/>
      </rPr>
      <t>Sending 1st message in a group channel within X days</t>
    </r>
  </si>
  <si>
    <t>Observations (Personal Notes):
Sending the 1st message in a group channel within the (1+) days has the largest %overlap with 83%. 
taking 7+ days to send the first message has the lowest %overlap, which is only 32%.
We might say that the %overlap has a negative relationship with days the users take to send their first message.</t>
  </si>
  <si>
    <t>Does doing this Aha Metric affect activation? If yes, what is the ideal metric?</t>
  </si>
  <si>
    <t>Yes. The ideal metric is to send the first message within the (1+) days</t>
  </si>
  <si>
    <t xml:space="preserve"># of </t>
  </si>
  <si>
    <t>Days Taken</t>
  </si>
  <si>
    <r>
      <rPr>
        <rFont val="Arial"/>
        <color theme="1"/>
      </rPr>
      <t xml:space="preserve">Because in the previous sheet </t>
    </r>
    <r>
      <rPr>
        <rFont val="Arial"/>
        <b/>
        <i/>
        <color theme="1"/>
      </rPr>
      <t>(habit Moment)</t>
    </r>
    <r>
      <rPr>
        <rFont val="Arial"/>
        <color theme="1"/>
      </rPr>
      <t xml:space="preserve">, we considered that looking for a communication tool outside of email to engage with teammates is a habit moment, therefore this Aha Moment </t>
    </r>
    <r>
      <rPr>
        <rFont val="Arial"/>
        <b/>
        <i/>
        <color theme="1"/>
      </rPr>
      <t>(engage with a message in a group channel)</t>
    </r>
    <r>
      <rPr>
        <rFont val="Arial"/>
        <color theme="1"/>
      </rPr>
      <t xml:space="preserve"> will lead that user to create a habit. So, our Aha and Habit moment are related and the Aha will lead to creating a Habit.</t>
    </r>
  </si>
  <si>
    <r>
      <rPr>
        <rFont val="Arial"/>
        <b/>
        <color theme="1"/>
      </rPr>
      <t xml:space="preserve">Aha Moment 2: </t>
    </r>
    <r>
      <rPr>
        <rFont val="Arial"/>
        <b val="0"/>
        <color theme="1"/>
      </rPr>
      <t>Messaging with a team member on a direct channel</t>
    </r>
  </si>
  <si>
    <r>
      <rPr>
        <rFont val="Arial"/>
        <b/>
        <color theme="1"/>
      </rPr>
      <t xml:space="preserve">Aha Metric 2: </t>
    </r>
    <r>
      <rPr>
        <rFont val="Arial"/>
        <b val="0"/>
        <color theme="1"/>
      </rPr>
      <t xml:space="preserve">sends 1st direct message within X days </t>
    </r>
  </si>
  <si>
    <t>Observations (Personal Notes):
Sending the 1st direct message within the (1+) days has the largest %overlap with 61%. 
taking 7+ days to send the first direct message has the lowest %overlap, which is only 23% only.
We might say that the %overlap has a negative relationship with days the users take to send their first direct message.</t>
  </si>
  <si>
    <t>Yes. The ideal metric is to send the first direct message within the (1+) days</t>
  </si>
  <si>
    <r>
      <rPr>
        <rFont val="Arial"/>
        <color theme="1"/>
      </rPr>
      <t xml:space="preserve">Same as above Sending a direct message to a teammate would increase the chance to reach Aha, because some users would think that slack is only about a group messaging and not sending direct messages. So, experiencing this feature will lead users to Aha, and this will be consistent with what we consider as a Habit Moement </t>
    </r>
    <r>
      <rPr>
        <rFont val="Arial"/>
        <b/>
        <i/>
        <color theme="1"/>
      </rPr>
      <t xml:space="preserve">(sheet 4). </t>
    </r>
    <r>
      <rPr>
        <rFont val="Arial"/>
        <color theme="1"/>
      </rPr>
      <t xml:space="preserve">Making it easier for users to send a direct messages to their teammates will decrease their needs to go to email to do so, because sending a direct message to teammate via Slack is faster and users won't have to go back and forth between apps (Slack and Email); they will be more productive and focus. </t>
    </r>
  </si>
  <si>
    <r>
      <rPr>
        <rFont val="Arial"/>
        <b/>
        <color theme="1"/>
      </rPr>
      <t xml:space="preserve">Aha Moment 3: </t>
    </r>
    <r>
      <rPr>
        <rFont val="Arial"/>
        <b val="0"/>
        <color theme="1"/>
      </rPr>
      <t>Searching for old documents, links, and convos</t>
    </r>
  </si>
  <si>
    <t>Aha Metric 3: 1st search for a file or message within X days</t>
  </si>
  <si>
    <t>Observations (Personal Notes):
make the first search for a file or message within the (3+) days has the largest %overlap with 61%. 
taking 7+ days to search for first file or message has the lowest %overlap, which is only 35% only.</t>
  </si>
  <si>
    <t>Because every platform now is built with the function of searching for old document and messages, so this might not get our users to reach Aha, because they will expecting this feature to be integrated in the product.</t>
  </si>
  <si>
    <r>
      <rPr>
        <rFont val="Arial"/>
        <b/>
        <color rgb="FF000000"/>
      </rPr>
      <t>What is the best Primary Aha Moment and Metric to select for Slack?</t>
    </r>
    <r>
      <rPr>
        <rFont val="Arial"/>
        <b val="0"/>
        <color rgb="FF000000"/>
      </rPr>
      <t xml:space="preserve"> (hint: what did you confirm as a Aha Action in this exercise and which action had the highest overlap - probability to positively affect activation)</t>
    </r>
  </si>
  <si>
    <t>Messaging with a team member on a direct channel</t>
  </si>
  <si>
    <t>sends 1st direct message within X days 
(Send the 1st direct message within the (1+) days)</t>
  </si>
  <si>
    <t>Without using the data analysis, why do you think that this Aha would be the best for Slack?</t>
  </si>
  <si>
    <t>As we said before, we considered that a user reaches a habit moment when he uses Slack to engage with his teammate rather than Email. So, adopting this metric of sending the first direct message will lead the user to Aha moment and when a user continues to do so, he/she will reach a habit moment (what we considered as a habit moment in the first sheet).</t>
  </si>
  <si>
    <r>
      <rPr>
        <rFont val="Arial"/>
        <b/>
        <color theme="1"/>
      </rPr>
      <t xml:space="preserve">Scenario: </t>
    </r>
    <r>
      <rPr>
        <rFont val="Arial"/>
        <b val="0"/>
        <color theme="1"/>
      </rPr>
      <t xml:space="preserve">The VP of Product took your team's hypothesies and narrowed down them down to 3 moments and 3 metrics each fro Habit, Aha, and Setup analysis. The ones provided could include your hypothesis from Tab 3, but if they do not, that does not mean yours hypothesis is not valid. With the VP's experience, he is simply able to narrow down the list for us. </t>
    </r>
  </si>
  <si>
    <r>
      <rPr>
        <rFont val="Arial"/>
        <color rgb="FF000000"/>
      </rPr>
      <t>You need to conduct an analysis on what habit moments and metrics drive users to long-term activation.</t>
    </r>
    <r>
      <rPr>
        <rFont val="Arial"/>
        <b/>
        <color rgb="FF000000"/>
      </rPr>
      <t xml:space="preserve"> 
Remember: </t>
    </r>
    <r>
      <rPr>
        <rFont val="Arial"/>
        <color rgb="FF000000"/>
      </rPr>
      <t xml:space="preserve">Long-term activation would be defined by the metric with the highest % overlap curve. </t>
    </r>
  </si>
  <si>
    <t>The habit, Setup, and setup moments will be shared across next three tabs one for each moment. 
In this tab, you will analyze just Setup moments/metrics and determine whether each of these 3 habit moments affect activation. This is important to know because then we can tailor our product to include the features that allow our users to achieve activation faster. 3 Setup Moments and 3 Setup Metrics are pre-selected for you along with users who completed actions and retained for each of the 3 moments.</t>
  </si>
  <si>
    <r>
      <rPr>
        <rFont val="Arial"/>
        <b/>
        <color theme="1"/>
      </rPr>
      <t xml:space="preserve">Skill: </t>
    </r>
    <r>
      <rPr>
        <rFont val="Arial"/>
        <b val="0"/>
        <color theme="1"/>
      </rPr>
      <t>From these tasks, you can apply your knowledge on how to 
(1) calculate % overlap to measure the relationship of % overlap to setup metric
(2) create line charts to visualize the relationship of the metric
(3) analyze which are the primary setup moments and metric that lead to long-term activation.</t>
    </r>
  </si>
  <si>
    <r>
      <rPr>
        <rFont val="Arial"/>
        <b/>
        <color theme="1"/>
      </rPr>
      <t xml:space="preserve">Instructions: </t>
    </r>
    <r>
      <rPr>
        <rFont val="Arial"/>
        <b val="0"/>
        <color theme="1"/>
      </rPr>
      <t>Place any notes, thoughts, comments in the "Observations (Personal Notes)" box in column M - O for yourself to view in the future.</t>
    </r>
  </si>
  <si>
    <r>
      <rPr>
        <rFont val="Arial"/>
        <b/>
        <color theme="1"/>
      </rPr>
      <t xml:space="preserve">1. </t>
    </r>
    <r>
      <rPr>
        <rFont val="Arial"/>
        <b val="0"/>
        <color theme="1"/>
      </rPr>
      <t xml:space="preserve">Calculate the % overlap for each moment in Column F, </t>
    </r>
  </si>
  <si>
    <r>
      <rPr>
        <rFont val="Arial"/>
        <b/>
        <color theme="1"/>
      </rPr>
      <t xml:space="preserve">2. </t>
    </r>
    <r>
      <rPr>
        <rFont val="Arial"/>
        <b val="0"/>
        <color theme="1"/>
      </rPr>
      <t xml:space="preserve">Create a line-graph for each moment in Column H-K to visualize the % Overlap from Column F vs setup Metric from column A, </t>
    </r>
  </si>
  <si>
    <r>
      <rPr>
        <rFont val="Arial"/>
        <b/>
        <color theme="1"/>
      </rPr>
      <t xml:space="preserve">3. </t>
    </r>
    <r>
      <rPr>
        <rFont val="Arial"/>
        <b val="0"/>
        <color theme="1"/>
      </rPr>
      <t>Analyze the data for each moment to determine if based on your analysis, this moment leads to long-term activation or not, and share your reasoning in Column Q - S</t>
    </r>
  </si>
  <si>
    <r>
      <rPr>
        <rFont val="Arial"/>
        <b/>
        <color theme="1"/>
      </rPr>
      <t xml:space="preserve">4. </t>
    </r>
    <r>
      <rPr>
        <rFont val="Arial"/>
        <b val="0"/>
        <color theme="1"/>
      </rPr>
      <t>Once Steps 1 - 3 are completed, determine which of the 3 options would the Primary setup Moment and Metric and explain why in the 2 boxes on the bottom right of this Tab in Row 50.</t>
    </r>
  </si>
  <si>
    <r>
      <rPr>
        <rFont val="Arial"/>
        <b/>
        <color theme="1"/>
      </rPr>
      <t xml:space="preserve">Setup Moment 1: </t>
    </r>
    <r>
      <rPr>
        <rFont val="Arial"/>
        <b val="0"/>
        <color theme="1"/>
      </rPr>
      <t>Configure settings and profile</t>
    </r>
  </si>
  <si>
    <r>
      <rPr>
        <rFont val="Arial"/>
        <b/>
        <color theme="1"/>
      </rPr>
      <t xml:space="preserve">Setup Metric 1: </t>
    </r>
    <r>
      <rPr>
        <rFont val="Arial"/>
        <b val="0"/>
        <color theme="1"/>
      </rPr>
      <t>Setting up profile pic within X days</t>
    </r>
  </si>
  <si>
    <t>Observations (Personal Notes):
Setting up a profile pic within the (1+) days has the largest %overlap (40%). 
taking 7+ days to set up a profile pic has the lowest %overlap, which is only 31%.</t>
  </si>
  <si>
    <t>Does doing this Setup Metric affect activation? If yes, what is the ideal metric?</t>
  </si>
  <si>
    <t>Yes. The ideal metric is to set up a profile pic within the (1+) day</t>
  </si>
  <si>
    <t>Because teammates need to know who are they talking to, and picture is good way to do so. Because if they're working for a large company, they might not see each other but they can contact each other, if someone need something from someone else working on a different departement within that same company, so setting up a profile pic is a good way to represent yourself to your colleagues working for the same company.</t>
  </si>
  <si>
    <r>
      <rPr>
        <rFont val="Arial"/>
        <b/>
        <color theme="1"/>
      </rPr>
      <t xml:space="preserve">Setup Moment 2: </t>
    </r>
    <r>
      <rPr>
        <rFont val="Arial"/>
        <b val="0"/>
        <color theme="1"/>
      </rPr>
      <t>Integrate to a 3rd party Slack App</t>
    </r>
  </si>
  <si>
    <r>
      <rPr>
        <rFont val="Arial"/>
        <b/>
        <color theme="1"/>
      </rPr>
      <t xml:space="preserve">Setup Metric 2: </t>
    </r>
    <r>
      <rPr>
        <rFont val="Arial"/>
        <b val="0"/>
        <color theme="1"/>
      </rPr>
      <t>Integrate to a 3rd party app within 7-days</t>
    </r>
  </si>
  <si>
    <t>Observations (Personal Notes):
Integrate to a 3rd party app within the (1+) days has the largest %overlap (57%). 
taking 7+ to integrate to a 3rd party app has the lowest %overlap, which is only 47%.</t>
  </si>
  <si>
    <t>Yes. The ideal metric is to integrate a 3rd party app within the (1+) day</t>
  </si>
  <si>
    <t>Because integrating 3rd party app will increase the chances of reaching Aha moment, as users see the value and the features that Slack provides in order to make their work efficient, and not only about chatting and sending messages.</t>
  </si>
  <si>
    <r>
      <rPr>
        <rFont val="Arial"/>
        <b/>
        <color theme="1"/>
      </rPr>
      <t xml:space="preserve">Setup Moment 3: </t>
    </r>
    <r>
      <rPr>
        <rFont val="Arial"/>
        <b val="0"/>
        <color theme="1"/>
      </rPr>
      <t>Invite a team mate and had a back-and-forth direct convo</t>
    </r>
  </si>
  <si>
    <r>
      <rPr>
        <rFont val="Arial"/>
        <b/>
        <color theme="1"/>
      </rPr>
      <t xml:space="preserve">Setup Metric 3: </t>
    </r>
    <r>
      <rPr>
        <rFont val="Arial"/>
        <b val="0"/>
        <color theme="1"/>
      </rPr>
      <t># of users invited within 7-days</t>
    </r>
  </si>
  <si>
    <t>Observations (Personal Notes):
Inviting a teammate within the (1+) days has the largest %overlap (40%). 
taking 7+ to invit a teammate has the lowest %overlap, which is only 29%.</t>
  </si>
  <si>
    <t>Yes. The ideal metric is to invite a teammate within the (1+) day</t>
  </si>
  <si>
    <t>Users Invited</t>
  </si>
  <si>
    <t>this metric is related to what we have considered as Aha and Habit moments. If we gave users the ability to invite other users to the workspace or channel, this will decrease the need for contacting them via Email, because by inviting them to the workspace for example, users will be able to contact them in a group channel, or even send them direct messages without the need to go and open Email and send them a message, which will then help in acheving a Habit Moment later on.</t>
  </si>
  <si>
    <r>
      <rPr>
        <rFont val="Arial"/>
        <b/>
        <color rgb="FF000000"/>
      </rPr>
      <t>What is the best Primary Setup Moment and Metric to select for Slack?</t>
    </r>
    <r>
      <rPr>
        <rFont val="Arial"/>
        <b val="0"/>
        <color rgb="FF000000"/>
      </rPr>
      <t xml:space="preserve"> (hint: what did you confirm as a Aha Action in this exercise and which action had the highest overlap - probability to positively affect activation)</t>
    </r>
  </si>
  <si>
    <t>Setup Moment 3: Invite a team mate and had a back-and-forth direct convo</t>
  </si>
  <si>
    <r>
      <rPr>
        <rFont val="Arial"/>
        <color theme="1"/>
      </rPr>
      <t xml:space="preserve">Setup Metric 3: # of users invited within 7-days 
</t>
    </r>
    <r>
      <rPr>
        <rFont val="Arial"/>
        <b/>
        <i/>
        <color theme="1"/>
      </rPr>
      <t>(Inviting a teammate within the (1+) days)</t>
    </r>
  </si>
  <si>
    <t>Without using the data analysis, why do you think that this Setup would be the best for Slack?</t>
  </si>
  <si>
    <t>Because by giving users the power to invite their teammates to a workspace or channel will increase the chances of reaching Aha &amp; Habit moments. Inviting a teammate will help in increasing the engagement of the two users. Because, inviting other users to the workspace, it will be easier for other teammates to send them direct messages, which will lead to Aha (as stated in Tab5) whithout the need to reach them via Email.</t>
  </si>
  <si>
    <t>Suggested Experiments from Tab 3</t>
  </si>
  <si>
    <r>
      <rPr>
        <rFont val="Arial"/>
        <b/>
        <color theme="1"/>
      </rPr>
      <t xml:space="preserve">Scenario: </t>
    </r>
    <r>
      <rPr>
        <rFont val="Arial"/>
        <b val="0"/>
        <color theme="1"/>
      </rPr>
      <t xml:space="preserve">You have been brought onto a project at Slack to help define the activation funnel. </t>
    </r>
  </si>
  <si>
    <t>On this tab, you will be putting all the analysis you've done in previous 3 tabs together. From the 3 previous tabs, you should have identified the primary habit, aha, and signup moment that most influenced activation.</t>
  </si>
  <si>
    <r>
      <rPr>
        <rFont val="Arial"/>
        <b/>
        <color theme="1"/>
      </rPr>
      <t xml:space="preserve">Skill: </t>
    </r>
    <r>
      <rPr>
        <rFont val="Arial"/>
        <b val="0"/>
        <color theme="1"/>
      </rPr>
      <t xml:space="preserve">You have determined that many moments and metrics can lead users to activate, but there are only a few </t>
    </r>
    <r>
      <rPr>
        <rFont val="Arial"/>
        <b/>
        <color theme="1"/>
      </rPr>
      <t>Primary</t>
    </r>
    <r>
      <rPr>
        <rFont val="Arial"/>
        <b val="0"/>
        <color theme="1"/>
      </rPr>
      <t xml:space="preserve"> moments and metrics that we should drive users towards as they lead to long-term activation.</t>
    </r>
  </si>
  <si>
    <r>
      <rPr>
        <rFont val="Arial"/>
        <b/>
        <color theme="1"/>
      </rPr>
      <t xml:space="preserve">Instructions: </t>
    </r>
    <r>
      <rPr>
        <rFont val="Arial"/>
        <color theme="1"/>
      </rPr>
      <t>Compare your hypothesis from Tab 3- Activation Hyopthesis against the post-analysis activation funnel in Tab 7. Please add your thoughts Column C.</t>
    </r>
  </si>
  <si>
    <r>
      <rPr>
        <rFont val="Arial"/>
        <color theme="1"/>
      </rPr>
      <t xml:space="preserve">1. </t>
    </r>
    <r>
      <rPr>
        <rFont val="Arial"/>
        <color theme="1"/>
      </rPr>
      <t>Your Habit moments and metrics (They should appear here from the relevant tabs, if they do not, please copy them here) for your to reflect on are in A11 and B11</t>
    </r>
    <r>
      <rPr>
        <rFont val="Arial"/>
        <color theme="1"/>
      </rPr>
      <t xml:space="preserve">                                                </t>
    </r>
  </si>
  <si>
    <t>2. Your Aha moments and metrics (They should appear here from the relevant tabs, if they do not, please copy them here) for your to reflect on are in A11 and B12</t>
  </si>
  <si>
    <t>3. Your Setup moments and metrics (They should appear here from the relevant tabs, if they do not, please copy them here) for your to reflect on are in A11 and B13</t>
  </si>
  <si>
    <t>Cells  in orange have been done for you.</t>
  </si>
  <si>
    <t>Metrics that lead to Habit:</t>
  </si>
  <si>
    <t>Observations/Reflections on Hypothesis</t>
  </si>
  <si>
    <t>No further thoughts</t>
  </si>
  <si>
    <t>Metrics that lead to Aha:</t>
  </si>
  <si>
    <t>Moments that lead to Signup:</t>
  </si>
  <si>
    <t>Metrics that lead to Signup:</t>
  </si>
  <si>
    <r>
      <rPr>
        <rFont val="Arial"/>
        <b/>
        <color theme="1"/>
      </rPr>
      <t xml:space="preserve">Scenario: </t>
    </r>
    <r>
      <rPr>
        <rFont val="Arial"/>
        <b val="0"/>
        <color theme="1"/>
      </rPr>
      <t xml:space="preserve">Now that you have determined one of Slack's Habit, Aha, and Setup moments, you have been asked by the VP of Product to segment our users through the activation funnel. He requests you share with marketing any findings on what users are performing well, not well, and what areas can be improved on. </t>
    </r>
  </si>
  <si>
    <t xml:space="preserve">The findings will help marketing team focus on Ideal Customer Profiles (ICPs), so they know where to invest for Acquisition. The activation funnel has already been applied to these segments and your goal is to see analyze delta between the funnel and how many users make it through the funnel. </t>
  </si>
  <si>
    <r>
      <rPr>
        <rFont val="Arial"/>
        <b/>
        <color rgb="FF000000"/>
      </rPr>
      <t>Remember</t>
    </r>
    <r>
      <rPr>
        <rFont val="Arial"/>
        <color rgb="FF000000"/>
      </rPr>
      <t xml:space="preserve">: The delta is the percentage of users that make it from one stage of the funnel to the next to ultimately tell us what percent of our acquired users go through all stages of funnel to achieve activation. </t>
    </r>
  </si>
  <si>
    <t>Once your conduct this analysis, you can then create experiments on how to convert more users through each step in the Setup, Aha, and Habit moments. The goal for Slack is to get more users through the funnel so we have more users and  a higer % of users that become activated.</t>
  </si>
  <si>
    <t xml:space="preserve">Skill: Analyze how different segments flow through the activation funnel by determining the # and % of users activated per segment. </t>
  </si>
  <si>
    <r>
      <rPr>
        <rFont val="Arial"/>
        <b/>
        <color theme="1"/>
      </rPr>
      <t>Instructions</t>
    </r>
    <r>
      <rPr>
        <rFont val="Arial"/>
        <color theme="1"/>
      </rPr>
      <t xml:space="preserve">: Conduct each segment analysis in order: 
Industry (Row 8 - 28)
Company Size (Row 30 -50)
Account Size (Row 52 - 71)
Source (Row 73 - 90). </t>
    </r>
  </si>
  <si>
    <t xml:space="preserve">Place any notes, thoughts, comments in the "Observations (Personal Notes)" box for yourself to view in the future - these will not be graded. </t>
  </si>
  <si>
    <t>In your text-based analysis, your goal is to increase the total average % you calculate in row 31, 53, 74, and 93 across each segment. To determine what is a good threshold of % of users activated that is good enough vs.needs more support, compare the % users activated for each segmen to the average for that segment.</t>
  </si>
  <si>
    <r>
      <rPr>
        <rFont val="Arial"/>
        <b/>
        <color theme="1"/>
      </rPr>
      <t xml:space="preserve">1. </t>
    </r>
    <r>
      <rPr>
        <rFont val="Arial"/>
        <b val="0"/>
        <color theme="1"/>
      </rPr>
      <t xml:space="preserve">Calculate the Delta (Setup to Aha) ratio in Column D     </t>
    </r>
    <r>
      <rPr>
        <rFont val="Arial"/>
        <b/>
        <color theme="1"/>
      </rPr>
      <t xml:space="preserve">                                              </t>
    </r>
  </si>
  <si>
    <r>
      <rPr>
        <rFont val="Arial"/>
        <b/>
        <color theme="1"/>
      </rPr>
      <t xml:space="preserve">2. </t>
    </r>
    <r>
      <rPr>
        <rFont val="Arial"/>
        <b val="0"/>
        <color theme="1"/>
      </rPr>
      <t xml:space="preserve">Calculate Delta (Aha to Habit) ratio in Column F,        </t>
    </r>
    <r>
      <rPr>
        <rFont val="Arial"/>
        <b/>
        <color theme="1"/>
      </rPr>
      <t xml:space="preserve">                                          </t>
    </r>
  </si>
  <si>
    <t xml:space="preserve">3. Calculate # of users activated in Column H,                                                       </t>
  </si>
  <si>
    <r>
      <rPr>
        <rFont val="Arial"/>
        <b/>
        <color theme="1"/>
      </rPr>
      <t xml:space="preserve">4. </t>
    </r>
    <r>
      <rPr>
        <rFont val="Arial"/>
        <b val="0"/>
        <color theme="1"/>
      </rPr>
      <t>% of Users Activated in Column I,</t>
    </r>
  </si>
  <si>
    <r>
      <rPr>
        <rFont val="Arial"/>
        <b/>
        <color theme="1"/>
      </rPr>
      <t xml:space="preserve">5. </t>
    </r>
    <r>
      <rPr>
        <rFont val="Arial"/>
        <b val="0"/>
        <color theme="1"/>
      </rPr>
      <t>Address questions (located below each segment) regarding what segment has the best/worst activation funnel and create an experiment l to focus effort on a specific segment funnel. Use the [Action], [Outcome], and [Theory] Framework.</t>
    </r>
  </si>
  <si>
    <t>Cells colored in Blue have ben completed as examples for you. The formulas have been removed.</t>
  </si>
  <si>
    <t>Segment Analysis by Industry for June 2019</t>
  </si>
  <si>
    <t>Industry</t>
  </si>
  <si>
    <t>New Users Acquired</t>
  </si>
  <si>
    <t># of Users activated</t>
  </si>
  <si>
    <t>% of Users Activated</t>
  </si>
  <si>
    <t>Total</t>
  </si>
  <si>
    <t>Setup Moment</t>
  </si>
  <si>
    <t>Delta (Setup to Aha)</t>
  </si>
  <si>
    <t>Aha Moment</t>
  </si>
  <si>
    <t>Delta (Aha to Habit)</t>
  </si>
  <si>
    <t>Habit Moment</t>
  </si>
  <si>
    <t>Technology</t>
  </si>
  <si>
    <t xml:space="preserve">Retail </t>
  </si>
  <si>
    <t>Healthcare</t>
  </si>
  <si>
    <t>Financial Services</t>
  </si>
  <si>
    <t>Manufacturing</t>
  </si>
  <si>
    <t>Consume Goods</t>
  </si>
  <si>
    <t>Transportation</t>
  </si>
  <si>
    <t>Oil and Gas</t>
  </si>
  <si>
    <t>What industry has the best activation Funnel? Why?</t>
  </si>
  <si>
    <t>What industry has the worst activation Funnel? Why?</t>
  </si>
  <si>
    <t>What would you want to report to Marketing?</t>
  </si>
  <si>
    <t>Experiment Brief using Action, Outcome, Theory  (Select 1 moments to improve)</t>
  </si>
  <si>
    <t>The industry that has the best activation funnel is Technology, because it has largest number of users activated (126) and the largest % of Users activated (45%)</t>
  </si>
  <si>
    <r>
      <rPr>
        <rFont val="Arial"/>
        <color theme="1"/>
        <sz val="10.0"/>
      </rPr>
      <t xml:space="preserve">The industry that has the worst activation funnel is </t>
    </r>
    <r>
      <rPr>
        <rFont val="Arial"/>
        <b/>
        <i/>
        <color theme="1"/>
        <sz val="10.0"/>
      </rPr>
      <t>Transportation</t>
    </r>
    <r>
      <rPr>
        <rFont val="Arial"/>
        <color theme="1"/>
        <sz val="10.0"/>
      </rPr>
      <t xml:space="preserve"> because its number of users activated </t>
    </r>
    <r>
      <rPr>
        <rFont val="Arial"/>
        <b/>
        <i/>
        <color theme="1"/>
        <sz val="10.0"/>
      </rPr>
      <t>(10)</t>
    </r>
    <r>
      <rPr>
        <rFont val="Arial"/>
        <color theme="1"/>
        <sz val="10.0"/>
      </rPr>
      <t xml:space="preserve"> is below average </t>
    </r>
    <r>
      <rPr>
        <rFont val="Arial"/>
        <b/>
        <i/>
        <color theme="1"/>
        <sz val="10.0"/>
      </rPr>
      <t>(43)</t>
    </r>
    <r>
      <rPr>
        <rFont val="Arial"/>
        <color theme="1"/>
        <sz val="10.0"/>
      </rPr>
      <t xml:space="preserve"> and it has the lowest % of Users activated </t>
    </r>
    <r>
      <rPr>
        <rFont val="Arial"/>
        <b/>
        <i/>
        <color theme="1"/>
        <sz val="10.0"/>
      </rPr>
      <t xml:space="preserve">(22%) </t>
    </r>
    <r>
      <rPr>
        <rFont val="Arial"/>
        <color theme="1"/>
        <sz val="10.0"/>
      </rPr>
      <t xml:space="preserve">and it's below average as well </t>
    </r>
    <r>
      <rPr>
        <rFont val="Arial"/>
        <b/>
        <i/>
        <color theme="1"/>
        <sz val="10.0"/>
      </rPr>
      <t>(33%).</t>
    </r>
  </si>
  <si>
    <r>
      <rPr>
        <rFont val="Arial"/>
        <color theme="1"/>
        <sz val="10.0"/>
      </rPr>
      <t xml:space="preserve">We want to see how much do customers from the </t>
    </r>
    <r>
      <rPr>
        <rFont val="Arial"/>
        <b/>
        <i/>
        <color theme="1"/>
        <sz val="10.0"/>
      </rPr>
      <t>transportation</t>
    </r>
    <r>
      <rPr>
        <rFont val="Arial"/>
        <color theme="1"/>
        <sz val="10.0"/>
      </rPr>
      <t xml:space="preserve"> and other industries that are performing below average cost to acquire (CAC) in order to know whether we are losing a lot of money to acquire them, and what's the Average Selling Price in order to get an idea of how much revenue we're making from these segment.</t>
    </r>
  </si>
  <si>
    <r>
      <rPr>
        <rFont val="Arial"/>
        <color theme="1"/>
        <sz val="10.0"/>
      </rPr>
      <t xml:space="preserve">[ACTION] If we invite users to a webinar that explains how to make IT more successful </t>
    </r>
    <r>
      <rPr>
        <rFont val="Arial"/>
        <b/>
        <i/>
        <color theme="1"/>
        <sz val="10.0"/>
      </rPr>
      <t>(the webinar is on the website)</t>
    </r>
    <r>
      <rPr>
        <rFont val="Arial"/>
        <color theme="1"/>
        <sz val="10.0"/>
      </rPr>
      <t xml:space="preserve"> by focusing on how to integrate and connect slack with other tools [OUTCOME] we can enhance our relationship with users (because we invite them) and drive them to reach </t>
    </r>
    <r>
      <rPr>
        <rFont val="Arial"/>
        <b/>
        <i/>
        <color theme="1"/>
        <sz val="10.0"/>
      </rPr>
      <t>Aha</t>
    </r>
    <r>
      <rPr>
        <rFont val="Arial"/>
        <color theme="1"/>
        <sz val="10.0"/>
      </rPr>
      <t xml:space="preserve"> (by showing the magic of Slack), and also increase </t>
    </r>
    <r>
      <rPr>
        <rFont val="Arial"/>
        <b/>
        <i/>
        <color theme="1"/>
        <sz val="10.0"/>
      </rPr>
      <t xml:space="preserve">Setup </t>
    </r>
    <r>
      <rPr>
        <rFont val="Arial"/>
        <color theme="1"/>
        <sz val="10.0"/>
      </rPr>
      <t>(integrate some tools)  [Theory] because the user that was invited to the webinar will value this action, and those who attend will have an incentive to practice the tips learned from the webinar to their own business and case.</t>
    </r>
  </si>
  <si>
    <t>Segment Analysis by Company Size for June 2019</t>
  </si>
  <si>
    <t>Company Size</t>
  </si>
  <si>
    <t>New Users</t>
  </si>
  <si>
    <t>1-5</t>
  </si>
  <si>
    <t>6-10</t>
  </si>
  <si>
    <t>11-20</t>
  </si>
  <si>
    <t>21-50</t>
  </si>
  <si>
    <t>51-100</t>
  </si>
  <si>
    <t>101-250</t>
  </si>
  <si>
    <t>251-500</t>
  </si>
  <si>
    <t>501+</t>
  </si>
  <si>
    <t>What company size has the best activation Funnel? Why?</t>
  </si>
  <si>
    <t>What company size has the worst activation Funnel? Why?</t>
  </si>
  <si>
    <r>
      <rPr>
        <rFont val="Arial"/>
        <color theme="1"/>
        <sz val="10.0"/>
      </rPr>
      <t xml:space="preserve">The company size that has the best activation funnel is </t>
    </r>
    <r>
      <rPr>
        <rFont val="Arial"/>
        <b/>
        <i/>
        <color theme="1"/>
        <sz val="10.0"/>
      </rPr>
      <t>between 21-50</t>
    </r>
    <r>
      <rPr>
        <rFont val="Arial"/>
        <color theme="1"/>
        <sz val="10.0"/>
      </rPr>
      <t xml:space="preserve">, because its number of users activated </t>
    </r>
    <r>
      <rPr>
        <rFont val="Arial"/>
        <b/>
        <i/>
        <color theme="1"/>
        <sz val="10.0"/>
      </rPr>
      <t>(75)</t>
    </r>
    <r>
      <rPr>
        <rFont val="Arial"/>
        <color theme="1"/>
        <sz val="10.0"/>
      </rPr>
      <t xml:space="preserve"> is above average, and it has the largest % of Users activated </t>
    </r>
    <r>
      <rPr>
        <rFont val="Arial"/>
        <b/>
        <i/>
        <color theme="1"/>
        <sz val="10.0"/>
      </rPr>
      <t>(43%)</t>
    </r>
  </si>
  <si>
    <r>
      <rPr>
        <rFont val="Arial"/>
        <color theme="1"/>
        <sz val="10.0"/>
      </rPr>
      <t xml:space="preserve">The company size that has the worst activation funnel is between </t>
    </r>
    <r>
      <rPr>
        <rFont val="Arial"/>
        <b/>
        <i/>
        <color theme="1"/>
        <sz val="10.0"/>
      </rPr>
      <t>1-5</t>
    </r>
    <r>
      <rPr>
        <rFont val="Arial"/>
        <color theme="1"/>
        <sz val="10.0"/>
      </rPr>
      <t xml:space="preserve"> because its number of users activated </t>
    </r>
    <r>
      <rPr>
        <rFont val="Arial"/>
        <b/>
        <i/>
        <color theme="1"/>
        <sz val="10.0"/>
      </rPr>
      <t>(54)</t>
    </r>
    <r>
      <rPr>
        <rFont val="Arial"/>
        <color theme="1"/>
        <sz val="10.0"/>
      </rPr>
      <t xml:space="preserve"> is below average </t>
    </r>
    <r>
      <rPr>
        <rFont val="Arial"/>
        <b/>
        <i/>
        <color theme="1"/>
        <sz val="10.0"/>
      </rPr>
      <t>(55)</t>
    </r>
    <r>
      <rPr>
        <rFont val="Arial"/>
        <color theme="1"/>
        <sz val="10.0"/>
      </rPr>
      <t xml:space="preserve"> and it has the lowest % of Users activated </t>
    </r>
    <r>
      <rPr>
        <rFont val="Arial"/>
        <b/>
        <i/>
        <color theme="1"/>
        <sz val="10.0"/>
      </rPr>
      <t xml:space="preserve">(19%) </t>
    </r>
    <r>
      <rPr>
        <rFont val="Arial"/>
        <color theme="1"/>
        <sz val="10.0"/>
      </rPr>
      <t xml:space="preserve">and it's below average as well </t>
    </r>
    <r>
      <rPr>
        <rFont val="Arial"/>
        <b/>
        <i/>
        <color theme="1"/>
        <sz val="10.0"/>
      </rPr>
      <t>(31%)</t>
    </r>
  </si>
  <si>
    <r>
      <rPr>
        <rFont val="Arial"/>
        <color theme="1"/>
        <sz val="10.0"/>
      </rPr>
      <t xml:space="preserve">We want to see how much do customers from the </t>
    </r>
    <r>
      <rPr>
        <rFont val="Arial"/>
        <b/>
        <i/>
        <color theme="1"/>
        <sz val="10.0"/>
      </rPr>
      <t>transportation</t>
    </r>
    <r>
      <rPr>
        <rFont val="Arial"/>
        <color theme="1"/>
        <sz val="10.0"/>
      </rPr>
      <t xml:space="preserve"> and other industries that are performing below average cost to acquire (CAC) in order to know whether we are losing a lot of money to acquire them, and what's the Average Selling Price in order to get an idea of how much revenue we're making from these segment.</t>
    </r>
  </si>
  <si>
    <r>
      <rPr>
        <rFont val="Arial"/>
        <color theme="1"/>
        <sz val="10.0"/>
      </rPr>
      <t xml:space="preserve">[ACTION] If we add a video that explains how Slack facilitate communication between teammates [OUTCOME] we can drive users to explore and learn more about the product, which might trigger </t>
    </r>
    <r>
      <rPr>
        <rFont val="Arial"/>
        <b/>
        <i/>
        <color theme="1"/>
        <sz val="10.0"/>
      </rPr>
      <t>Aha Moment</t>
    </r>
    <r>
      <rPr>
        <rFont val="Arial"/>
        <color theme="1"/>
        <sz val="10.0"/>
      </rPr>
      <t xml:space="preserve"> [Theory] because some users need to see an initial value of the product before signing-up.</t>
    </r>
  </si>
  <si>
    <t>Segment Analysis by Account Size for June 2019</t>
  </si>
  <si>
    <t>Account Size</t>
  </si>
  <si>
    <t>1 - 2</t>
  </si>
  <si>
    <t>2 - 5</t>
  </si>
  <si>
    <t>5 - 10</t>
  </si>
  <si>
    <t>10 - 20</t>
  </si>
  <si>
    <t>20 - 50</t>
  </si>
  <si>
    <t>50 - 100</t>
  </si>
  <si>
    <t>100+</t>
  </si>
  <si>
    <t>What account size has the best activation Funnel? Why?</t>
  </si>
  <si>
    <t>What account size has the worst activation Funnel? Why?</t>
  </si>
  <si>
    <r>
      <rPr>
        <rFont val="Arial"/>
        <color theme="1"/>
        <sz val="10.0"/>
      </rPr>
      <t xml:space="preserve">The account size that has the best activation funnel is </t>
    </r>
    <r>
      <rPr>
        <rFont val="Arial"/>
        <b/>
        <i/>
        <color theme="1"/>
        <sz val="10.0"/>
      </rPr>
      <t>between 50-100</t>
    </r>
    <r>
      <rPr>
        <rFont val="Arial"/>
        <color theme="1"/>
        <sz val="10.0"/>
      </rPr>
      <t xml:space="preserve">, because it has the largest number of users activated </t>
    </r>
    <r>
      <rPr>
        <rFont val="Arial"/>
        <b/>
        <i/>
        <color theme="1"/>
        <sz val="10.0"/>
      </rPr>
      <t>(139)</t>
    </r>
    <r>
      <rPr>
        <rFont val="Arial"/>
        <color theme="1"/>
        <sz val="10.0"/>
      </rPr>
      <t xml:space="preserve"> and the largest % of Users activated </t>
    </r>
    <r>
      <rPr>
        <rFont val="Arial"/>
        <b/>
        <i/>
        <color theme="1"/>
        <sz val="10.0"/>
      </rPr>
      <t>(52%)</t>
    </r>
  </si>
  <si>
    <r>
      <rPr>
        <rFont val="Arial"/>
        <color theme="1"/>
        <sz val="10.0"/>
      </rPr>
      <t xml:space="preserve">The account size that has the worst activation funnel is between </t>
    </r>
    <r>
      <rPr>
        <rFont val="Arial"/>
        <b/>
        <i/>
        <color theme="1"/>
        <sz val="10.0"/>
      </rPr>
      <t>1-2</t>
    </r>
    <r>
      <rPr>
        <rFont val="Arial"/>
        <color theme="1"/>
        <sz val="10.0"/>
      </rPr>
      <t xml:space="preserve"> because it has the lowest number of users activated </t>
    </r>
    <r>
      <rPr>
        <rFont val="Arial"/>
        <b/>
        <i/>
        <color theme="1"/>
        <sz val="10.0"/>
      </rPr>
      <t>(16)</t>
    </r>
    <r>
      <rPr>
        <rFont val="Arial"/>
        <color theme="1"/>
        <sz val="10.0"/>
      </rPr>
      <t xml:space="preserve"> and it has the lowest % of Users activated </t>
    </r>
    <r>
      <rPr>
        <rFont val="Arial"/>
        <b/>
        <i/>
        <color theme="1"/>
        <sz val="10.0"/>
      </rPr>
      <t xml:space="preserve">(16%) </t>
    </r>
    <r>
      <rPr>
        <rFont val="Arial"/>
        <color theme="1"/>
        <sz val="10.0"/>
      </rPr>
      <t xml:space="preserve">and it's below average as well </t>
    </r>
    <r>
      <rPr>
        <rFont val="Arial"/>
        <b/>
        <i/>
        <color theme="1"/>
        <sz val="10.0"/>
      </rPr>
      <t>(31%)</t>
    </r>
  </si>
  <si>
    <r>
      <rPr>
        <rFont val="Arial"/>
        <color theme="1"/>
        <sz val="10.0"/>
      </rPr>
      <t xml:space="preserve">We need to have a closer look at how much do customers from the account size between </t>
    </r>
    <r>
      <rPr>
        <rFont val="Arial"/>
        <b/>
        <i/>
        <color theme="1"/>
        <sz val="10.0"/>
      </rPr>
      <t>1-2</t>
    </r>
    <r>
      <rPr>
        <rFont val="Arial"/>
        <color theme="1"/>
        <sz val="10.0"/>
      </rPr>
      <t xml:space="preserve"> and other accounts that are performing below average in both</t>
    </r>
    <r>
      <rPr>
        <rFont val="Arial"/>
        <b/>
        <i/>
        <color theme="1"/>
        <sz val="10.0"/>
      </rPr>
      <t xml:space="preserve"> # and % </t>
    </r>
    <r>
      <rPr>
        <rFont val="Arial"/>
        <color theme="1"/>
        <sz val="10.0"/>
      </rPr>
      <t xml:space="preserve">of users activated cost to acquire </t>
    </r>
    <r>
      <rPr>
        <rFont val="Arial"/>
        <b/>
        <i/>
        <color theme="1"/>
        <sz val="10.0"/>
      </rPr>
      <t>(CAC)</t>
    </r>
    <r>
      <rPr>
        <rFont val="Arial"/>
        <color theme="1"/>
        <sz val="10.0"/>
      </rPr>
      <t xml:space="preserve"> in order to know whether we are losing a lot of money to acquire them, and what's the Average Selling Price </t>
    </r>
    <r>
      <rPr>
        <rFont val="Arial"/>
        <b/>
        <i/>
        <color theme="1"/>
        <sz val="10.0"/>
      </rPr>
      <t>(ASP)</t>
    </r>
    <r>
      <rPr>
        <rFont val="Arial"/>
        <color theme="1"/>
        <sz val="10.0"/>
      </rPr>
      <t xml:space="preserve"> in order to get an idea of how much revenue we're making from these segment.</t>
    </r>
  </si>
  <si>
    <r>
      <rPr>
        <rFont val="Arial"/>
        <color theme="1"/>
        <sz val="10.0"/>
      </rPr>
      <t xml:space="preserve">[ACTION] If we write a welcome pop-up "Welcome + name of the user" to new users </t>
    </r>
    <r>
      <rPr>
        <rFont val="Arial"/>
        <b/>
        <i/>
        <color theme="1"/>
        <sz val="10.0"/>
      </rPr>
      <t>(way of greeting new users)</t>
    </r>
    <r>
      <rPr>
        <rFont val="Arial"/>
        <color theme="1"/>
        <sz val="10.0"/>
      </rPr>
      <t xml:space="preserve"> and give them a quick tour </t>
    </r>
    <r>
      <rPr>
        <rFont val="Arial"/>
        <b/>
        <i/>
        <color theme="1"/>
        <sz val="10.0"/>
      </rPr>
      <t>(1st CTA : Show me how it works)</t>
    </r>
    <r>
      <rPr>
        <rFont val="Arial"/>
        <color theme="1"/>
        <sz val="10.0"/>
      </rPr>
      <t xml:space="preserve"> with the possiblity of skiping the tour </t>
    </r>
    <r>
      <rPr>
        <rFont val="Arial"/>
        <b/>
        <i/>
        <color theme="1"/>
        <sz val="10.0"/>
      </rPr>
      <t>(2nd CTA : Skip)</t>
    </r>
    <r>
      <rPr>
        <rFont val="Arial"/>
        <color theme="1"/>
        <sz val="10.0"/>
      </rPr>
      <t xml:space="preserve"> [OUTCOME] we can enhance integrity and decrease churn rate for those that might get lost when they first sign-up [Theory] because the new users that will use Slack for the first time, they might find it difficult to go through on their own, So, giving them a tour would decrease the challenge they will face, which will lead to icreasing </t>
    </r>
    <r>
      <rPr>
        <rFont val="Arial"/>
        <b/>
        <i/>
        <color theme="1"/>
        <sz val="10.0"/>
      </rPr>
      <t>Aha.</t>
    </r>
    <r>
      <rPr>
        <rFont val="Arial"/>
        <color theme="1"/>
        <sz val="10.0"/>
      </rPr>
      <t xml:space="preserve">  </t>
    </r>
  </si>
  <si>
    <t>Segment Funnel by Sources for June 2019</t>
  </si>
  <si>
    <t>Source</t>
  </si>
  <si>
    <t>Pricing Page</t>
  </si>
  <si>
    <t>Free Trial Page</t>
  </si>
  <si>
    <t>Referral link</t>
  </si>
  <si>
    <t>Team Invitation</t>
  </si>
  <si>
    <t>Blog Page</t>
  </si>
  <si>
    <t>What source has the best activation Funnel? Why?</t>
  </si>
  <si>
    <t>What source has the worst activation Funnel? Why?</t>
  </si>
  <si>
    <r>
      <rPr>
        <rFont val="Arial"/>
        <color theme="1"/>
        <sz val="10.0"/>
      </rPr>
      <t xml:space="preserve">The source that has the best activation funnel is </t>
    </r>
    <r>
      <rPr>
        <rFont val="Arial"/>
        <b/>
        <i/>
        <color theme="1"/>
        <sz val="10.0"/>
      </rPr>
      <t>Team Invitation</t>
    </r>
    <r>
      <rPr>
        <rFont val="Arial"/>
        <color theme="1"/>
        <sz val="10.0"/>
      </rPr>
      <t xml:space="preserve">, because it has the largest number of users activated </t>
    </r>
    <r>
      <rPr>
        <rFont val="Arial"/>
        <b/>
        <i/>
        <color theme="1"/>
        <sz val="10.0"/>
      </rPr>
      <t>(198)</t>
    </r>
    <r>
      <rPr>
        <rFont val="Arial"/>
        <color theme="1"/>
        <sz val="10.0"/>
      </rPr>
      <t xml:space="preserve"> and the largest % of Users activated </t>
    </r>
    <r>
      <rPr>
        <rFont val="Arial"/>
        <b/>
        <i/>
        <color theme="1"/>
        <sz val="10.0"/>
      </rPr>
      <t>(46%)</t>
    </r>
  </si>
  <si>
    <r>
      <rPr>
        <rFont val="Arial"/>
        <color theme="1"/>
        <sz val="10.0"/>
      </rPr>
      <t xml:space="preserve">The source that has the worst activation funnel is </t>
    </r>
    <r>
      <rPr>
        <rFont val="Arial"/>
        <b/>
        <i/>
        <color theme="1"/>
        <sz val="10.0"/>
      </rPr>
      <t>Blog Page</t>
    </r>
    <r>
      <rPr>
        <rFont val="Arial"/>
        <color theme="1"/>
        <sz val="10.0"/>
      </rPr>
      <t xml:space="preserve"> because it has the lowest number of users activated </t>
    </r>
    <r>
      <rPr>
        <rFont val="Arial"/>
        <b/>
        <i/>
        <color theme="1"/>
        <sz val="10.0"/>
      </rPr>
      <t>(29)</t>
    </r>
    <r>
      <rPr>
        <rFont val="Arial"/>
        <color theme="1"/>
        <sz val="10.0"/>
      </rPr>
      <t xml:space="preserve"> and it has the lowest % of Users activated </t>
    </r>
    <r>
      <rPr>
        <rFont val="Arial"/>
        <b/>
        <i/>
        <color theme="1"/>
        <sz val="10.0"/>
      </rPr>
      <t>(27%)</t>
    </r>
    <r>
      <rPr>
        <rFont val="Arial"/>
        <color theme="1"/>
        <sz val="10.0"/>
      </rPr>
      <t>.</t>
    </r>
  </si>
  <si>
    <r>
      <rPr>
        <rFont val="Arial"/>
        <color theme="1"/>
        <sz val="10.0"/>
      </rPr>
      <t xml:space="preserve">We need to have a closer look at how much do customers acquired from </t>
    </r>
    <r>
      <rPr>
        <rFont val="Arial"/>
        <b/>
        <i/>
        <color theme="1"/>
        <sz val="10.0"/>
      </rPr>
      <t>Pricing, Free Trial and Blog Pages</t>
    </r>
    <r>
      <rPr>
        <rFont val="Arial"/>
        <color theme="1"/>
        <sz val="10.0"/>
      </rPr>
      <t xml:space="preserve"> cost (CAC) in order to know whether we are losing a lot of money to acquire them, and what's the Average Selling Price in order to get an idea of how much revenue we're making from these segment.</t>
    </r>
  </si>
  <si>
    <t xml:space="preserve">[ACTION] If we design the search icone in the blog and make the placeholder as "search our blog" [OUTCOME] we can give incentives to users to search for what they might want to be on the product [Theory] because if users see some values and find answers that they're looking for, we can gain them and lead to more conversion and even reach Setup/Aha moment.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</si>
</sst>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409]mmm\-yy"/>
  </numFmts>
  <fonts count="25">
    <font>
      <sz val="10.0"/>
      <color rgb="FF000000"/>
      <name val="Arial"/>
      <scheme val="minor"/>
    </font>
    <font>
      <sz val="31.0"/>
      <color rgb="FF000000"/>
      <name val="Arial"/>
    </font>
    <font/>
    <font>
      <color theme="1"/>
      <name val="Arial"/>
      <scheme val="minor"/>
    </font>
    <font>
      <u/>
      <color rgb="FF0000FF"/>
    </font>
    <font>
      <color rgb="FF000000"/>
      <name val="Arial"/>
    </font>
    <font>
      <b/>
      <color rgb="FF000000"/>
      <name val="Arial"/>
    </font>
    <font>
      <b/>
      <color theme="1"/>
      <name val="Arial"/>
    </font>
    <font>
      <color theme="1"/>
      <name val="Arial"/>
    </font>
    <font>
      <sz val="11.0"/>
      <color rgb="FF222222"/>
      <name val="&quot;Google Sans&quot;"/>
    </font>
    <font>
      <b/>
      <sz val="20.0"/>
      <color theme="1"/>
      <name val="Arial"/>
    </font>
    <font>
      <b/>
      <sz val="30.0"/>
      <color theme="1"/>
      <name val="Arial"/>
      <scheme val="minor"/>
    </font>
    <font>
      <b/>
      <u/>
      <color rgb="FF0000FF"/>
      <name val="Arial"/>
    </font>
    <font>
      <b/>
      <color theme="1"/>
      <name val="Arial"/>
      <scheme val="minor"/>
    </font>
    <font>
      <b/>
      <sz val="30.0"/>
      <color theme="1"/>
      <name val="Arial"/>
    </font>
    <font>
      <b/>
      <color rgb="FFB7B7B7"/>
      <name val="Arial"/>
      <scheme val="minor"/>
    </font>
    <font>
      <color rgb="FFB7B7B7"/>
      <name val="Arial"/>
      <scheme val="minor"/>
    </font>
    <font>
      <b/>
      <color rgb="FFB7B7B7"/>
      <name val="Arial"/>
    </font>
    <font>
      <sz val="11.0"/>
      <color rgb="FF000000"/>
      <name val="Arial"/>
    </font>
    <font>
      <b/>
      <sz val="18.0"/>
      <color theme="1"/>
      <name val="Arial"/>
      <scheme val="minor"/>
    </font>
    <font>
      <sz val="10.0"/>
      <color theme="1"/>
      <name val="Arial"/>
      <scheme val="minor"/>
    </font>
    <font>
      <b/>
      <sz val="10.0"/>
      <color rgb="FF000000"/>
      <name val="Open Sans"/>
    </font>
    <font>
      <b/>
      <sz val="10.0"/>
      <color theme="1"/>
      <name val="Arial"/>
      <scheme val="minor"/>
    </font>
    <font>
      <sz val="10.0"/>
      <color rgb="FF000000"/>
      <name val="Open Sans"/>
    </font>
    <font>
      <b/>
      <sz val="10.0"/>
      <color theme="1"/>
      <name val="Open Sans"/>
    </font>
  </fonts>
  <fills count="25">
    <fill>
      <patternFill patternType="none"/>
    </fill>
    <fill>
      <patternFill patternType="lightGray"/>
    </fill>
    <fill>
      <patternFill patternType="solid">
        <fgColor rgb="FFCCCCCC"/>
        <bgColor rgb="FFCCCCCC"/>
      </patternFill>
    </fill>
    <fill>
      <patternFill patternType="solid">
        <fgColor rgb="FFFFFFFF"/>
        <bgColor rgb="FFFFFFFF"/>
      </patternFill>
    </fill>
    <fill>
      <patternFill patternType="solid">
        <fgColor rgb="FFB6D7A8"/>
        <bgColor rgb="FFB6D7A8"/>
      </patternFill>
    </fill>
    <fill>
      <patternFill patternType="solid">
        <fgColor rgb="FFF6B26B"/>
        <bgColor rgb="FFF6B26B"/>
      </patternFill>
    </fill>
    <fill>
      <patternFill patternType="solid">
        <fgColor rgb="FFF3F3F3"/>
        <bgColor rgb="FFF3F3F3"/>
      </patternFill>
    </fill>
    <fill>
      <patternFill patternType="solid">
        <fgColor rgb="FFBDBDBD"/>
        <bgColor rgb="FFBDBDBD"/>
      </patternFill>
    </fill>
    <fill>
      <patternFill patternType="solid">
        <fgColor rgb="FFA4C2F4"/>
        <bgColor rgb="FFA4C2F4"/>
      </patternFill>
    </fill>
    <fill>
      <patternFill patternType="solid">
        <fgColor rgb="FFD8D8D8"/>
        <bgColor rgb="FFD8D8D8"/>
      </patternFill>
    </fill>
    <fill>
      <patternFill patternType="solid">
        <fgColor rgb="FFC0CE7B"/>
        <bgColor rgb="FFC0CE7B"/>
      </patternFill>
    </fill>
    <fill>
      <patternFill patternType="solid">
        <fgColor rgb="FFFBD584"/>
        <bgColor rgb="FFFBD584"/>
      </patternFill>
    </fill>
    <fill>
      <patternFill patternType="solid">
        <fgColor rgb="FFEF9E65"/>
        <bgColor rgb="FFEF9E65"/>
      </patternFill>
    </fill>
    <fill>
      <patternFill patternType="solid">
        <fgColor rgb="FFF9CA7E"/>
        <bgColor rgb="FFF9CA7E"/>
      </patternFill>
    </fill>
    <fill>
      <patternFill patternType="solid">
        <fgColor rgb="FFF0A468"/>
        <bgColor rgb="FFF0A468"/>
      </patternFill>
    </fill>
    <fill>
      <patternFill patternType="solid">
        <fgColor rgb="FFE98256"/>
        <bgColor rgb="FFE98256"/>
      </patternFill>
    </fill>
    <fill>
      <patternFill patternType="solid">
        <fgColor rgb="FFFEE18B"/>
        <bgColor rgb="FFFEE18B"/>
      </patternFill>
    </fill>
    <fill>
      <patternFill patternType="solid">
        <fgColor rgb="FFF1A96C"/>
        <bgColor rgb="FFF1A96C"/>
      </patternFill>
    </fill>
    <fill>
      <patternFill patternType="solid">
        <fgColor rgb="FFE5724D"/>
        <bgColor rgb="FFE5724D"/>
      </patternFill>
    </fill>
    <fill>
      <patternFill patternType="solid">
        <fgColor rgb="FFF7C57B"/>
        <bgColor rgb="FFF7C57B"/>
      </patternFill>
    </fill>
    <fill>
      <patternFill patternType="solid">
        <fgColor rgb="FFEC935F"/>
        <bgColor rgb="FFEC935F"/>
      </patternFill>
    </fill>
    <fill>
      <patternFill patternType="solid">
        <fgColor rgb="FFEC8F5D"/>
        <bgColor rgb="FFEC8F5D"/>
      </patternFill>
    </fill>
    <fill>
      <patternFill patternType="solid">
        <fgColor rgb="FFE26344"/>
        <bgColor rgb="FFE26344"/>
      </patternFill>
    </fill>
    <fill>
      <patternFill patternType="solid">
        <fgColor rgb="FFDF563D"/>
        <bgColor rgb="FFDF563D"/>
      </patternFill>
    </fill>
    <fill>
      <patternFill patternType="solid">
        <fgColor rgb="FFEA8859"/>
        <bgColor rgb="FFEA8859"/>
      </patternFill>
    </fill>
  </fills>
  <borders count="16">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border>
    <border>
      <right style="thin">
        <color rgb="FF000000"/>
      </right>
    </border>
    <border>
      <left style="thin">
        <color rgb="FF000000"/>
      </left>
      <right style="thin">
        <color rgb="FF000000"/>
      </right>
      <top style="thin">
        <color rgb="FF000000"/>
      </top>
    </border>
    <border>
      <left style="thin">
        <color rgb="FF000000"/>
      </left>
      <right style="thin">
        <color rgb="FF000000"/>
      </right>
    </border>
  </borders>
  <cellStyleXfs count="1">
    <xf borderId="0" fillId="0" fontId="0" numFmtId="0" applyAlignment="1" applyFont="1"/>
  </cellStyleXfs>
  <cellXfs count="259">
    <xf borderId="0" fillId="0" fontId="0" numFmtId="0" xfId="0" applyAlignment="1" applyFont="1">
      <alignment readingOrder="0" shrinkToFit="0" vertical="bottom" wrapText="0"/>
    </xf>
    <xf borderId="1" fillId="2" fontId="1" numFmtId="0" xfId="0" applyAlignment="1" applyBorder="1" applyFill="1" applyFont="1">
      <alignment horizontal="right" readingOrder="0" vertical="bottom"/>
    </xf>
    <xf borderId="2" fillId="0" fontId="2" numFmtId="0" xfId="0" applyBorder="1" applyFont="1"/>
    <xf borderId="3" fillId="0" fontId="2" numFmtId="0" xfId="0" applyBorder="1" applyFont="1"/>
    <xf borderId="4" fillId="0" fontId="3" numFmtId="0" xfId="0" applyAlignment="1" applyBorder="1" applyFont="1">
      <alignment readingOrder="0" shrinkToFit="0" vertical="top" wrapText="1"/>
    </xf>
    <xf borderId="5" fillId="0" fontId="2" numFmtId="0" xfId="0" applyBorder="1" applyFont="1"/>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 fillId="0" fontId="4" numFmtId="0" xfId="0" applyAlignment="1" applyBorder="1" applyFont="1">
      <alignment readingOrder="0" shrinkToFit="0" vertical="top" wrapText="1"/>
    </xf>
    <xf borderId="8" fillId="3" fontId="5" numFmtId="0" xfId="0" applyAlignment="1" applyBorder="1" applyFill="1" applyFont="1">
      <alignment horizontal="left" readingOrder="0" shrinkToFit="0" wrapText="1"/>
    </xf>
    <xf borderId="1" fillId="0" fontId="3" numFmtId="0" xfId="0" applyAlignment="1" applyBorder="1" applyFont="1">
      <alignment readingOrder="0" shrinkToFit="0" vertical="top" wrapText="1"/>
    </xf>
    <xf borderId="1" fillId="3" fontId="6" numFmtId="0" xfId="0" applyAlignment="1" applyBorder="1" applyFont="1">
      <alignment horizontal="left" readingOrder="0" shrinkToFit="0" wrapText="1"/>
    </xf>
    <xf borderId="0" fillId="3" fontId="5" numFmtId="0" xfId="0" applyAlignment="1" applyFont="1">
      <alignment horizontal="left" readingOrder="0"/>
    </xf>
    <xf borderId="2" fillId="0" fontId="7" numFmtId="0" xfId="0" applyAlignment="1" applyBorder="1" applyFont="1">
      <alignment horizontal="center" vertical="bottom"/>
    </xf>
    <xf borderId="3" fillId="0" fontId="7" numFmtId="0" xfId="0" applyAlignment="1" applyBorder="1" applyFont="1">
      <alignment horizontal="center" vertical="bottom"/>
    </xf>
    <xf borderId="10" fillId="2" fontId="7" numFmtId="0" xfId="0" applyAlignment="1" applyBorder="1" applyFont="1">
      <alignment horizontal="center" vertical="bottom"/>
    </xf>
    <xf borderId="10" fillId="2" fontId="7" numFmtId="0" xfId="0" applyAlignment="1" applyBorder="1" applyFont="1">
      <alignment vertical="bottom"/>
    </xf>
    <xf borderId="10" fillId="2" fontId="8" numFmtId="0" xfId="0" applyAlignment="1" applyBorder="1" applyFont="1">
      <alignment vertical="bottom"/>
    </xf>
    <xf borderId="3" fillId="2" fontId="8" numFmtId="0" xfId="0" applyAlignment="1" applyBorder="1" applyFont="1">
      <alignment vertical="bottom"/>
    </xf>
    <xf borderId="10" fillId="2" fontId="7" numFmtId="0" xfId="0" applyAlignment="1" applyBorder="1" applyFont="1">
      <alignment horizontal="center" readingOrder="0" vertical="bottom"/>
    </xf>
    <xf borderId="11" fillId="0" fontId="8" numFmtId="0" xfId="0" applyAlignment="1" applyBorder="1" applyFont="1">
      <alignment horizontal="center" vertical="bottom"/>
    </xf>
    <xf borderId="10" fillId="4" fontId="8" numFmtId="0" xfId="0" applyAlignment="1" applyBorder="1" applyFill="1" applyFont="1">
      <alignment readingOrder="0"/>
    </xf>
    <xf borderId="10" fillId="0" fontId="8" numFmtId="0" xfId="0" applyAlignment="1" applyBorder="1" applyFont="1">
      <alignment vertical="bottom"/>
    </xf>
    <xf borderId="11" fillId="0" fontId="8" numFmtId="0" xfId="0" applyAlignment="1" applyBorder="1" applyFont="1">
      <alignment horizontal="center" readingOrder="0" vertical="bottom"/>
    </xf>
    <xf borderId="10" fillId="0" fontId="8" numFmtId="0" xfId="0" applyAlignment="1" applyBorder="1" applyFont="1">
      <alignment readingOrder="0" vertical="bottom"/>
    </xf>
    <xf borderId="10" fillId="0" fontId="3" numFmtId="0" xfId="0" applyAlignment="1" applyBorder="1" applyFont="1">
      <alignment horizontal="center" readingOrder="0"/>
    </xf>
    <xf borderId="10" fillId="2" fontId="8" numFmtId="0" xfId="0" applyAlignment="1" applyBorder="1" applyFont="1">
      <alignment horizontal="center" vertical="bottom"/>
    </xf>
    <xf borderId="10" fillId="4" fontId="8" numFmtId="0" xfId="0" applyBorder="1" applyFont="1"/>
    <xf borderId="10" fillId="3" fontId="9" numFmtId="0" xfId="0" applyAlignment="1" applyBorder="1" applyFont="1">
      <alignment readingOrder="0"/>
    </xf>
    <xf borderId="4" fillId="2" fontId="10" numFmtId="0" xfId="0" applyAlignment="1" applyBorder="1" applyFont="1">
      <alignment horizontal="center"/>
    </xf>
    <xf borderId="4" fillId="0" fontId="7" numFmtId="0" xfId="0" applyAlignment="1" applyBorder="1" applyFont="1">
      <alignment readingOrder="0" shrinkToFit="0" vertical="top" wrapText="1"/>
    </xf>
    <xf borderId="0" fillId="0" fontId="8" numFmtId="0" xfId="0" applyFont="1"/>
    <xf borderId="0" fillId="0" fontId="7" numFmtId="0" xfId="0" applyAlignment="1" applyFont="1">
      <alignment readingOrder="0" shrinkToFit="0" vertical="bottom" wrapText="1"/>
    </xf>
    <xf borderId="0" fillId="0" fontId="8" numFmtId="0" xfId="0" applyAlignment="1" applyFont="1">
      <alignment vertical="bottom"/>
    </xf>
    <xf borderId="1" fillId="0" fontId="7" numFmtId="0" xfId="0" applyAlignment="1" applyBorder="1" applyFont="1">
      <alignment readingOrder="0" shrinkToFit="0" vertical="top" wrapText="1"/>
    </xf>
    <xf borderId="12" fillId="0" fontId="7" numFmtId="0" xfId="0" applyAlignment="1" applyBorder="1" applyFont="1">
      <alignment horizontal="left" readingOrder="0" shrinkToFit="0" vertical="top" wrapText="1"/>
    </xf>
    <xf borderId="13" fillId="0" fontId="2" numFmtId="0" xfId="0" applyBorder="1" applyFont="1"/>
    <xf borderId="12" fillId="0" fontId="8" numFmtId="0" xfId="0" applyAlignment="1" applyBorder="1" applyFont="1">
      <alignment readingOrder="0" shrinkToFit="0" vertical="top" wrapText="1"/>
    </xf>
    <xf borderId="12" fillId="0" fontId="7" numFmtId="0" xfId="0" applyAlignment="1" applyBorder="1" applyFont="1">
      <alignment readingOrder="0" shrinkToFit="0" vertical="top" wrapText="1"/>
    </xf>
    <xf borderId="7" fillId="0" fontId="7" numFmtId="0" xfId="0" applyAlignment="1" applyBorder="1" applyFont="1">
      <alignment horizontal="left" readingOrder="0" shrinkToFit="0" vertical="top" wrapText="1"/>
    </xf>
    <xf borderId="0" fillId="5" fontId="6" numFmtId="0" xfId="0" applyAlignment="1" applyFill="1" applyFont="1">
      <alignment horizontal="left" readingOrder="0"/>
    </xf>
    <xf borderId="8" fillId="5" fontId="5" numFmtId="0" xfId="0" applyAlignment="1" applyBorder="1" applyFont="1">
      <alignment horizontal="left" readingOrder="0"/>
    </xf>
    <xf borderId="9" fillId="5" fontId="5" numFmtId="0" xfId="0" applyAlignment="1" applyBorder="1" applyFont="1">
      <alignment horizontal="left" readingOrder="0"/>
    </xf>
    <xf borderId="11" fillId="3" fontId="7" numFmtId="0" xfId="0" applyAlignment="1" applyBorder="1" applyFont="1">
      <alignment horizontal="center" readingOrder="0" shrinkToFit="0" vertical="center" wrapText="1"/>
    </xf>
    <xf borderId="10" fillId="3" fontId="7" numFmtId="0" xfId="0" applyAlignment="1" applyBorder="1" applyFont="1">
      <alignment horizontal="center" readingOrder="0" shrinkToFit="0" vertical="center" wrapText="1"/>
    </xf>
    <xf borderId="10" fillId="2" fontId="7" numFmtId="0" xfId="0" applyAlignment="1" applyBorder="1" applyFont="1">
      <alignment horizontal="center" shrinkToFit="0" vertical="center" wrapText="1"/>
    </xf>
    <xf borderId="10" fillId="2" fontId="7" numFmtId="0" xfId="0" applyAlignment="1" applyBorder="1" applyFont="1">
      <alignment horizontal="center" readingOrder="0" shrinkToFit="0" vertical="center" wrapText="1"/>
    </xf>
    <xf borderId="1" fillId="2" fontId="7" numFmtId="0" xfId="0" applyAlignment="1" applyBorder="1" applyFont="1">
      <alignment horizontal="center" shrinkToFit="0" vertical="center" wrapText="1"/>
    </xf>
    <xf borderId="10" fillId="3" fontId="8" numFmtId="0" xfId="0" applyAlignment="1" applyBorder="1" applyFont="1">
      <alignment horizontal="right" vertical="bottom"/>
    </xf>
    <xf borderId="10" fillId="3" fontId="8" numFmtId="0" xfId="0" applyAlignment="1" applyBorder="1" applyFont="1">
      <alignment vertical="bottom"/>
    </xf>
    <xf borderId="10" fillId="5" fontId="8" numFmtId="10" xfId="0" applyAlignment="1" applyBorder="1" applyFont="1" applyNumberFormat="1">
      <alignment horizontal="right" readingOrder="0" vertical="bottom"/>
    </xf>
    <xf borderId="10" fillId="5" fontId="8" numFmtId="0" xfId="0" applyAlignment="1" applyBorder="1" applyFont="1">
      <alignment horizontal="center" readingOrder="0" vertical="bottom"/>
    </xf>
    <xf borderId="10" fillId="5" fontId="8" numFmtId="0" xfId="0" applyAlignment="1" applyBorder="1" applyFont="1">
      <alignment horizontal="right" shrinkToFit="0" vertical="bottom" wrapText="1"/>
    </xf>
    <xf borderId="1" fillId="5" fontId="5" numFmtId="0" xfId="0" applyAlignment="1" applyBorder="1" applyFont="1">
      <alignment shrinkToFit="0" vertical="top" wrapText="1"/>
    </xf>
    <xf borderId="10" fillId="5" fontId="5" numFmtId="0" xfId="0" applyAlignment="1" applyBorder="1" applyFont="1">
      <alignment shrinkToFit="0" vertical="top" wrapText="1"/>
    </xf>
    <xf borderId="10" fillId="5" fontId="8" numFmtId="0" xfId="0" applyAlignment="1" applyBorder="1" applyFont="1">
      <alignment vertical="top"/>
    </xf>
    <xf borderId="10" fillId="5" fontId="5" numFmtId="0" xfId="0" applyAlignment="1" applyBorder="1" applyFont="1">
      <alignment shrinkToFit="0" vertical="bottom" wrapText="1"/>
    </xf>
    <xf borderId="10" fillId="5" fontId="8" numFmtId="0" xfId="0" applyAlignment="1" applyBorder="1" applyFont="1">
      <alignment shrinkToFit="0" vertical="bottom" wrapText="1"/>
    </xf>
    <xf borderId="10" fillId="5" fontId="8" numFmtId="0" xfId="0" applyAlignment="1" applyBorder="1" applyFont="1">
      <alignment vertical="bottom"/>
    </xf>
    <xf borderId="10" fillId="5" fontId="8" numFmtId="0" xfId="0" applyAlignment="1" applyBorder="1" applyFont="1">
      <alignment shrinkToFit="0" vertical="top" wrapText="1"/>
    </xf>
    <xf borderId="10" fillId="0" fontId="8" numFmtId="0" xfId="0" applyAlignment="1" applyBorder="1" applyFont="1">
      <alignment horizontal="right" vertical="bottom"/>
    </xf>
    <xf borderId="10" fillId="0" fontId="8" numFmtId="0" xfId="0" applyAlignment="1" applyBorder="1" applyFont="1">
      <alignment vertical="bottom"/>
    </xf>
    <xf borderId="10" fillId="4" fontId="8" numFmtId="10" xfId="0" applyAlignment="1" applyBorder="1" applyFont="1" applyNumberFormat="1">
      <alignment horizontal="right" vertical="bottom"/>
    </xf>
    <xf borderId="10" fillId="4" fontId="8" numFmtId="0" xfId="0" applyAlignment="1" applyBorder="1" applyFont="1">
      <alignment horizontal="right" readingOrder="0" shrinkToFit="0" vertical="bottom" wrapText="1"/>
    </xf>
    <xf borderId="1" fillId="4" fontId="8" numFmtId="0" xfId="0" applyAlignment="1" applyBorder="1" applyFont="1">
      <alignment readingOrder="0" shrinkToFit="0" vertical="top" wrapText="1"/>
    </xf>
    <xf borderId="11" fillId="4" fontId="8" numFmtId="0" xfId="0" applyAlignment="1" applyBorder="1" applyFont="1">
      <alignment readingOrder="0" shrinkToFit="0" vertical="top" wrapText="1"/>
    </xf>
    <xf borderId="10" fillId="4" fontId="8" numFmtId="0" xfId="0" applyAlignment="1" applyBorder="1" applyFont="1">
      <alignment readingOrder="0" vertical="top"/>
    </xf>
    <xf borderId="10" fillId="4" fontId="5" numFmtId="0" xfId="0" applyAlignment="1" applyBorder="1" applyFont="1">
      <alignment readingOrder="0" shrinkToFit="0" vertical="bottom" wrapText="1"/>
    </xf>
    <xf borderId="10" fillId="4" fontId="8" numFmtId="0" xfId="0" applyAlignment="1" applyBorder="1" applyFont="1">
      <alignment readingOrder="0" shrinkToFit="0" vertical="bottom" wrapText="1"/>
    </xf>
    <xf borderId="10" fillId="4" fontId="8" numFmtId="0" xfId="0" applyAlignment="1" applyBorder="1" applyFont="1">
      <alignment readingOrder="0" vertical="bottom"/>
    </xf>
    <xf borderId="10" fillId="4" fontId="8" numFmtId="0" xfId="0" applyAlignment="1" applyBorder="1" applyFont="1">
      <alignment readingOrder="0" shrinkToFit="0" vertical="top" wrapText="1"/>
    </xf>
    <xf borderId="1" fillId="4" fontId="5" numFmtId="0" xfId="0" applyAlignment="1" applyBorder="1" applyFont="1">
      <alignment readingOrder="0" shrinkToFit="0" vertical="top" wrapText="1"/>
    </xf>
    <xf borderId="11" fillId="4" fontId="5" numFmtId="0" xfId="0" applyAlignment="1" applyBorder="1" applyFont="1">
      <alignment readingOrder="0" shrinkToFit="0" vertical="top" wrapText="1"/>
    </xf>
    <xf borderId="10" fillId="4" fontId="5" numFmtId="0" xfId="0" applyAlignment="1" applyBorder="1" applyFont="1">
      <alignment readingOrder="0" shrinkToFit="0" vertical="top" wrapText="1"/>
    </xf>
    <xf borderId="10" fillId="4" fontId="8" numFmtId="0" xfId="0" applyAlignment="1" applyBorder="1" applyFont="1">
      <alignment horizontal="left" readingOrder="0" shrinkToFit="0" vertical="bottom" wrapText="1"/>
    </xf>
    <xf borderId="1" fillId="4" fontId="5" numFmtId="0" xfId="0" applyAlignment="1" applyBorder="1" applyFont="1">
      <alignment shrinkToFit="0" vertical="top" wrapText="1"/>
    </xf>
    <xf borderId="11" fillId="4" fontId="5" numFmtId="0" xfId="0" applyAlignment="1" applyBorder="1" applyFont="1">
      <alignment shrinkToFit="0" vertical="top" wrapText="1"/>
    </xf>
    <xf borderId="10" fillId="4" fontId="5" numFmtId="0" xfId="0" applyAlignment="1" applyBorder="1" applyFont="1">
      <alignment shrinkToFit="0" vertical="top" wrapText="1"/>
    </xf>
    <xf borderId="10" fillId="4" fontId="8" numFmtId="0" xfId="0" applyAlignment="1" applyBorder="1" applyFont="1">
      <alignment shrinkToFit="0" vertical="bottom" wrapText="1"/>
    </xf>
    <xf borderId="10" fillId="4" fontId="8" numFmtId="0" xfId="0" applyAlignment="1" applyBorder="1" applyFont="1">
      <alignment vertical="bottom"/>
    </xf>
    <xf borderId="10" fillId="3" fontId="8" numFmtId="10" xfId="0" applyAlignment="1" applyBorder="1" applyFont="1" applyNumberFormat="1">
      <alignment horizontal="right" vertical="bottom"/>
    </xf>
    <xf borderId="10" fillId="6" fontId="8" numFmtId="10" xfId="0" applyAlignment="1" applyBorder="1" applyFill="1" applyFont="1" applyNumberFormat="1">
      <alignment horizontal="right" vertical="bottom"/>
    </xf>
    <xf borderId="11" fillId="0" fontId="8" numFmtId="0" xfId="0" applyAlignment="1" applyBorder="1" applyFont="1">
      <alignment horizontal="right" vertical="bottom"/>
    </xf>
    <xf borderId="9" fillId="0" fontId="8" numFmtId="0" xfId="0" applyAlignment="1" applyBorder="1" applyFont="1">
      <alignment vertical="bottom"/>
    </xf>
    <xf borderId="9" fillId="0" fontId="8" numFmtId="0" xfId="0" applyAlignment="1" applyBorder="1" applyFont="1">
      <alignment horizontal="right" vertical="bottom"/>
    </xf>
    <xf borderId="0" fillId="0" fontId="8" numFmtId="10" xfId="0" applyAlignment="1" applyFont="1" applyNumberFormat="1">
      <alignment vertical="bottom"/>
    </xf>
    <xf borderId="8" fillId="0" fontId="8" numFmtId="10" xfId="0" applyAlignment="1" applyBorder="1" applyFont="1" applyNumberFormat="1">
      <alignment vertical="bottom"/>
    </xf>
    <xf borderId="8" fillId="0" fontId="8" numFmtId="0" xfId="0" applyAlignment="1" applyBorder="1" applyFont="1">
      <alignment vertical="bottom"/>
    </xf>
    <xf borderId="13" fillId="0" fontId="8" numFmtId="0" xfId="0" applyAlignment="1" applyBorder="1" applyFont="1">
      <alignment vertical="bottom"/>
    </xf>
    <xf borderId="9" fillId="4" fontId="8" numFmtId="10" xfId="0" applyAlignment="1" applyBorder="1" applyFont="1" applyNumberFormat="1">
      <alignment horizontal="right" vertical="bottom"/>
    </xf>
    <xf borderId="9" fillId="4" fontId="8" numFmtId="0" xfId="0" applyAlignment="1" applyBorder="1" applyFont="1">
      <alignment horizontal="right" vertical="bottom"/>
    </xf>
    <xf borderId="4" fillId="0" fontId="7" numFmtId="0" xfId="0" applyAlignment="1" applyBorder="1" applyFont="1">
      <alignment horizontal="left" readingOrder="0" shrinkToFit="0" vertical="top" wrapText="1"/>
    </xf>
    <xf borderId="12" fillId="0" fontId="8" numFmtId="0" xfId="0" applyAlignment="1" applyBorder="1" applyFont="1">
      <alignment horizontal="left" readingOrder="0" vertical="top"/>
    </xf>
    <xf borderId="7" fillId="0" fontId="8" numFmtId="0" xfId="0" applyAlignment="1" applyBorder="1" applyFont="1">
      <alignment horizontal="left" readingOrder="0" vertical="top"/>
    </xf>
    <xf borderId="8" fillId="0" fontId="8" numFmtId="0" xfId="0" applyAlignment="1" applyBorder="1" applyFont="1">
      <alignment horizontal="left" readingOrder="0" vertical="top"/>
    </xf>
    <xf borderId="9" fillId="0" fontId="8" numFmtId="0" xfId="0" applyAlignment="1" applyBorder="1" applyFont="1">
      <alignment horizontal="left" readingOrder="0" vertical="top"/>
    </xf>
    <xf borderId="10" fillId="0" fontId="8" numFmtId="0" xfId="0" applyAlignment="1" applyBorder="1" applyFont="1">
      <alignment horizontal="left" readingOrder="0" vertical="top"/>
    </xf>
    <xf borderId="11" fillId="2" fontId="7" numFmtId="0" xfId="0" applyAlignment="1" applyBorder="1" applyFont="1">
      <alignment horizontal="center" shrinkToFit="0" vertical="center" wrapText="1"/>
    </xf>
    <xf borderId="9" fillId="2" fontId="7" numFmtId="0" xfId="0" applyAlignment="1" applyBorder="1" applyFont="1">
      <alignment horizontal="center" shrinkToFit="0" vertical="center" wrapText="1"/>
    </xf>
    <xf borderId="9" fillId="2" fontId="7" numFmtId="0" xfId="0" applyAlignment="1" applyBorder="1" applyFont="1">
      <alignment horizontal="center" readingOrder="0" shrinkToFit="0" vertical="center" wrapText="1"/>
    </xf>
    <xf borderId="11" fillId="5" fontId="8" numFmtId="0" xfId="0" applyAlignment="1" applyBorder="1" applyFont="1">
      <alignment horizontal="right" shrinkToFit="0" vertical="bottom" wrapText="1"/>
    </xf>
    <xf borderId="9" fillId="5" fontId="8" numFmtId="0" xfId="0" applyAlignment="1" applyBorder="1" applyFont="1">
      <alignment shrinkToFit="0" vertical="bottom" wrapText="1"/>
    </xf>
    <xf borderId="9" fillId="5" fontId="8" numFmtId="0" xfId="0" applyAlignment="1" applyBorder="1" applyFont="1">
      <alignment readingOrder="0" shrinkToFit="0" vertical="bottom" wrapText="1"/>
    </xf>
    <xf borderId="9" fillId="5" fontId="8" numFmtId="9" xfId="0" applyAlignment="1" applyBorder="1" applyFont="1" applyNumberFormat="1">
      <alignment horizontal="right" shrinkToFit="0" vertical="bottom" wrapText="1"/>
    </xf>
    <xf borderId="9" fillId="5" fontId="8" numFmtId="0" xfId="0" applyAlignment="1" applyBorder="1" applyFont="1">
      <alignment horizontal="right" shrinkToFit="0" vertical="bottom" wrapText="1"/>
    </xf>
    <xf borderId="9" fillId="5" fontId="8" numFmtId="2" xfId="0" applyAlignment="1" applyBorder="1" applyFont="1" applyNumberFormat="1">
      <alignment horizontal="right" shrinkToFit="0" vertical="bottom" wrapText="1"/>
    </xf>
    <xf borderId="11" fillId="4" fontId="8" numFmtId="0" xfId="0" applyAlignment="1" applyBorder="1" applyFont="1">
      <alignment horizontal="right" readingOrder="0" shrinkToFit="0" vertical="bottom" wrapText="1"/>
    </xf>
    <xf borderId="9" fillId="4" fontId="8" numFmtId="0" xfId="0" applyAlignment="1" applyBorder="1" applyFont="1">
      <alignment readingOrder="0" shrinkToFit="0" vertical="bottom" wrapText="1"/>
    </xf>
    <xf borderId="9" fillId="4" fontId="8" numFmtId="9" xfId="0" applyAlignment="1" applyBorder="1" applyFont="1" applyNumberFormat="1">
      <alignment horizontal="right" readingOrder="0" shrinkToFit="0" vertical="bottom" wrapText="1"/>
    </xf>
    <xf borderId="9" fillId="4" fontId="8" numFmtId="0" xfId="0" applyAlignment="1" applyBorder="1" applyFont="1">
      <alignment horizontal="right" readingOrder="0" shrinkToFit="0" vertical="bottom" wrapText="1"/>
    </xf>
    <xf borderId="9" fillId="4" fontId="8" numFmtId="2" xfId="0" applyAlignment="1" applyBorder="1" applyFont="1" applyNumberFormat="1">
      <alignment horizontal="right" shrinkToFit="0" vertical="bottom" wrapText="1"/>
    </xf>
    <xf borderId="11" fillId="4" fontId="8" numFmtId="0" xfId="0" applyAlignment="1" applyBorder="1" applyFont="1">
      <alignment shrinkToFit="0" vertical="bottom" wrapText="1"/>
    </xf>
    <xf borderId="11" fillId="4" fontId="8" numFmtId="0" xfId="0" applyAlignment="1" applyBorder="1" applyFont="1">
      <alignment shrinkToFit="0" vertical="bottom" wrapText="1"/>
    </xf>
    <xf borderId="1" fillId="2" fontId="11" numFmtId="0" xfId="0" applyAlignment="1" applyBorder="1" applyFont="1">
      <alignment horizontal="center" readingOrder="0"/>
    </xf>
    <xf borderId="1" fillId="0" fontId="7" numFmtId="0" xfId="0" applyAlignment="1" applyBorder="1" applyFont="1">
      <alignment horizontal="left" readingOrder="0" shrinkToFit="0" vertical="top" wrapText="1"/>
    </xf>
    <xf borderId="1" fillId="3" fontId="5" numFmtId="0" xfId="0" applyAlignment="1" applyBorder="1" applyFont="1">
      <alignment horizontal="left" readingOrder="0" shrinkToFit="0" wrapText="1"/>
    </xf>
    <xf borderId="4" fillId="0" fontId="12" numFmtId="0" xfId="0" applyAlignment="1" applyBorder="1" applyFont="1">
      <alignment horizontal="left" readingOrder="0" shrinkToFit="0" vertical="top" wrapText="1"/>
    </xf>
    <xf borderId="1" fillId="3" fontId="3" numFmtId="0" xfId="0" applyAlignment="1" applyBorder="1" applyFont="1">
      <alignment horizontal="left" readingOrder="0" shrinkToFit="0" wrapText="1"/>
    </xf>
    <xf borderId="0" fillId="3" fontId="5" numFmtId="0" xfId="0" applyAlignment="1" applyFont="1">
      <alignment horizontal="left" readingOrder="0" shrinkToFit="0" wrapText="1"/>
    </xf>
    <xf borderId="1" fillId="3" fontId="5" numFmtId="0" xfId="0" applyAlignment="1" applyBorder="1" applyFont="1">
      <alignment horizontal="left" readingOrder="0" shrinkToFit="0" wrapText="1"/>
    </xf>
    <xf borderId="12" fillId="3" fontId="3" numFmtId="0" xfId="0" applyAlignment="1" applyBorder="1" applyFont="1">
      <alignment horizontal="left" readingOrder="0" shrinkToFit="0" wrapText="1"/>
    </xf>
    <xf borderId="0" fillId="5" fontId="3" numFmtId="0" xfId="0" applyFont="1"/>
    <xf borderId="1" fillId="2" fontId="13" numFmtId="0" xfId="0" applyAlignment="1" applyBorder="1" applyFont="1">
      <alignment horizontal="center" readingOrder="0"/>
    </xf>
    <xf borderId="10" fillId="0" fontId="3" numFmtId="0" xfId="0" applyAlignment="1" applyBorder="1" applyFont="1">
      <alignment readingOrder="0"/>
    </xf>
    <xf borderId="10" fillId="5" fontId="3" numFmtId="0" xfId="0" applyAlignment="1" applyBorder="1" applyFont="1">
      <alignment readingOrder="0"/>
    </xf>
    <xf borderId="10" fillId="4" fontId="3" numFmtId="0" xfId="0" applyAlignment="1" applyBorder="1" applyFont="1">
      <alignment readingOrder="0"/>
    </xf>
    <xf borderId="1" fillId="2" fontId="14" numFmtId="0" xfId="0" applyAlignment="1" applyBorder="1" applyFont="1">
      <alignment horizontal="center" readingOrder="0" vertical="bottom"/>
    </xf>
    <xf borderId="0" fillId="2" fontId="14" numFmtId="0" xfId="0" applyAlignment="1" applyFont="1">
      <alignment horizontal="center" readingOrder="0" vertical="bottom"/>
    </xf>
    <xf borderId="0" fillId="0" fontId="7" numFmtId="0" xfId="0" applyAlignment="1" applyFont="1">
      <alignment horizontal="left" readingOrder="0" shrinkToFit="0" vertical="top" wrapText="1"/>
    </xf>
    <xf borderId="0" fillId="0" fontId="13" numFmtId="0" xfId="0" applyAlignment="1" applyFont="1">
      <alignment horizontal="left" readingOrder="0" shrinkToFit="0" vertical="top" wrapText="1"/>
    </xf>
    <xf borderId="0" fillId="3" fontId="6" numFmtId="0" xfId="0" applyAlignment="1" applyFont="1">
      <alignment horizontal="left" readingOrder="0" shrinkToFit="0" wrapText="1"/>
    </xf>
    <xf borderId="4" fillId="0" fontId="13" numFmtId="0" xfId="0" applyAlignment="1" applyBorder="1" applyFont="1">
      <alignment readingOrder="0" shrinkToFit="0" wrapText="1"/>
    </xf>
    <xf borderId="0" fillId="0" fontId="13" numFmtId="0" xfId="0" applyAlignment="1" applyFont="1">
      <alignment readingOrder="0" shrinkToFit="0" wrapText="1"/>
    </xf>
    <xf borderId="12" fillId="0" fontId="13" numFmtId="0" xfId="0" applyAlignment="1" applyBorder="1" applyFont="1">
      <alignment readingOrder="0" shrinkToFit="0" wrapText="1"/>
    </xf>
    <xf borderId="7" fillId="0" fontId="13" numFmtId="0" xfId="0" applyAlignment="1" applyBorder="1" applyFont="1">
      <alignment readingOrder="0" shrinkToFit="0" wrapText="1"/>
    </xf>
    <xf borderId="0" fillId="5" fontId="13" numFmtId="0" xfId="0" applyAlignment="1" applyFont="1">
      <alignment readingOrder="0" shrinkToFit="0" wrapText="1"/>
    </xf>
    <xf borderId="0" fillId="2" fontId="15" numFmtId="0" xfId="0" applyAlignment="1" applyFont="1">
      <alignment horizontal="center" readingOrder="0"/>
    </xf>
    <xf borderId="0" fillId="2" fontId="15" numFmtId="0" xfId="0" applyAlignment="1" applyFont="1">
      <alignment horizontal="left" readingOrder="0" shrinkToFit="0" vertical="top" wrapText="1"/>
    </xf>
    <xf borderId="0" fillId="2" fontId="16" numFmtId="0" xfId="0" applyFont="1"/>
    <xf borderId="0" fillId="2" fontId="17" numFmtId="0" xfId="0" applyAlignment="1" applyFont="1">
      <alignment horizontal="left" readingOrder="0" shrinkToFit="0" wrapText="1"/>
    </xf>
    <xf borderId="1" fillId="2" fontId="7" numFmtId="0" xfId="0" applyAlignment="1" applyBorder="1" applyFont="1">
      <alignment horizontal="center" readingOrder="0" vertical="bottom"/>
    </xf>
    <xf borderId="2" fillId="7" fontId="2" numFmtId="0" xfId="0" applyBorder="1" applyFill="1" applyFont="1"/>
    <xf borderId="3" fillId="7" fontId="2" numFmtId="0" xfId="0" applyBorder="1" applyFont="1"/>
    <xf borderId="0" fillId="0" fontId="13" numFmtId="0" xfId="0" applyAlignment="1" applyFont="1">
      <alignment horizontal="center" readingOrder="0"/>
    </xf>
    <xf borderId="4" fillId="0" fontId="13" numFmtId="0" xfId="0" applyAlignment="1" applyBorder="1" applyFont="1">
      <alignment horizontal="center" readingOrder="0"/>
    </xf>
    <xf borderId="1" fillId="3" fontId="7" numFmtId="0" xfId="0" applyAlignment="1" applyBorder="1" applyFont="1">
      <alignment horizontal="center" readingOrder="0" vertical="bottom"/>
    </xf>
    <xf borderId="2" fillId="3" fontId="2" numFmtId="0" xfId="0" applyBorder="1" applyFont="1"/>
    <xf borderId="3" fillId="3" fontId="2" numFmtId="0" xfId="0" applyBorder="1" applyFont="1"/>
    <xf borderId="12" fillId="0" fontId="2" numFmtId="0" xfId="0" applyBorder="1" applyFont="1"/>
    <xf borderId="4" fillId="4" fontId="13" numFmtId="0" xfId="0" applyAlignment="1" applyBorder="1" applyFont="1">
      <alignment horizontal="left" readingOrder="0" shrinkToFit="0" vertical="top" wrapText="1"/>
    </xf>
    <xf borderId="4" fillId="3" fontId="6" numFmtId="0" xfId="0" applyAlignment="1" applyBorder="1" applyFont="1">
      <alignment horizontal="left" readingOrder="0" shrinkToFit="0" wrapText="1"/>
    </xf>
    <xf borderId="14" fillId="4" fontId="3" numFmtId="0" xfId="0" applyAlignment="1" applyBorder="1" applyFont="1">
      <alignment readingOrder="0" shrinkToFit="0" wrapText="1"/>
    </xf>
    <xf borderId="0" fillId="4" fontId="3" numFmtId="0" xfId="0" applyAlignment="1" applyFont="1">
      <alignment readingOrder="0" shrinkToFit="0" wrapText="1"/>
    </xf>
    <xf borderId="10" fillId="6" fontId="7" numFmtId="0" xfId="0" applyAlignment="1" applyBorder="1" applyFont="1">
      <alignment horizontal="center" readingOrder="0" vertical="bottom"/>
    </xf>
    <xf borderId="1" fillId="6" fontId="7" numFmtId="0" xfId="0" applyAlignment="1" applyBorder="1" applyFont="1">
      <alignment horizontal="center" readingOrder="0" vertical="bottom"/>
    </xf>
    <xf borderId="2" fillId="6" fontId="2" numFmtId="0" xfId="0" applyBorder="1" applyFont="1"/>
    <xf borderId="3" fillId="6" fontId="2" numFmtId="0" xfId="0" applyBorder="1" applyFont="1"/>
    <xf borderId="0" fillId="0" fontId="13" numFmtId="0" xfId="0" applyAlignment="1" applyFont="1">
      <alignment readingOrder="0"/>
    </xf>
    <xf borderId="15" fillId="0" fontId="2" numFmtId="0" xfId="0" applyBorder="1" applyFont="1"/>
    <xf borderId="10" fillId="3" fontId="7" numFmtId="0" xfId="0" applyAlignment="1" applyBorder="1" applyFont="1">
      <alignment horizontal="center" readingOrder="0" shrinkToFit="0" vertical="bottom" wrapText="1"/>
    </xf>
    <xf borderId="10" fillId="3" fontId="7" numFmtId="0" xfId="0" applyAlignment="1" applyBorder="1" applyFont="1">
      <alignment readingOrder="0" shrinkToFit="0" vertical="bottom" wrapText="1"/>
    </xf>
    <xf borderId="11" fillId="0" fontId="2" numFmtId="0" xfId="0" applyBorder="1" applyFont="1"/>
    <xf borderId="10" fillId="6" fontId="7" numFmtId="0" xfId="0" applyAlignment="1" applyBorder="1" applyFont="1">
      <alignment horizontal="right" readingOrder="0" vertical="bottom"/>
    </xf>
    <xf borderId="10" fillId="6" fontId="8" numFmtId="0" xfId="0" applyAlignment="1" applyBorder="1" applyFont="1">
      <alignment horizontal="right" vertical="bottom"/>
    </xf>
    <xf borderId="10" fillId="6" fontId="18" numFmtId="0" xfId="0" applyAlignment="1" applyBorder="1" applyFont="1">
      <alignment horizontal="right" vertical="bottom"/>
    </xf>
    <xf borderId="10" fillId="6" fontId="8" numFmtId="3" xfId="0" applyAlignment="1" applyBorder="1" applyFont="1" applyNumberFormat="1">
      <alignment horizontal="right" vertical="bottom"/>
    </xf>
    <xf borderId="10" fillId="5" fontId="8" numFmtId="9" xfId="0" applyAlignment="1" applyBorder="1" applyFont="1" applyNumberFormat="1">
      <alignment horizontal="right" readingOrder="0" vertical="bottom"/>
    </xf>
    <xf borderId="0" fillId="3" fontId="18" numFmtId="0" xfId="0" applyAlignment="1" applyFont="1">
      <alignment horizontal="right" vertical="bottom"/>
    </xf>
    <xf borderId="12" fillId="3" fontId="6" numFmtId="0" xfId="0" applyAlignment="1" applyBorder="1" applyFont="1">
      <alignment horizontal="left" readingOrder="0" shrinkToFit="0" wrapText="1"/>
    </xf>
    <xf borderId="13" fillId="3" fontId="6" numFmtId="0" xfId="0" applyAlignment="1" applyBorder="1" applyFont="1">
      <alignment horizontal="left" readingOrder="0" shrinkToFit="0" wrapText="1"/>
    </xf>
    <xf borderId="10" fillId="3" fontId="7" numFmtId="0" xfId="0" applyAlignment="1" applyBorder="1" applyFont="1">
      <alignment horizontal="right" readingOrder="0" vertical="bottom"/>
    </xf>
    <xf borderId="10" fillId="3" fontId="8" numFmtId="3" xfId="0" applyAlignment="1" applyBorder="1" applyFont="1" applyNumberFormat="1">
      <alignment horizontal="right" vertical="bottom"/>
    </xf>
    <xf borderId="10" fillId="4" fontId="8" numFmtId="9" xfId="0" applyAlignment="1" applyBorder="1" applyFont="1" applyNumberFormat="1">
      <alignment horizontal="right" vertical="bottom"/>
    </xf>
    <xf borderId="0" fillId="0" fontId="8" numFmtId="0" xfId="0" applyAlignment="1" applyFont="1">
      <alignment horizontal="right" vertical="bottom"/>
    </xf>
    <xf borderId="14" fillId="3" fontId="6" numFmtId="0" xfId="0" applyAlignment="1" applyBorder="1" applyFont="1">
      <alignment horizontal="left" readingOrder="0" shrinkToFit="0" wrapText="1"/>
    </xf>
    <xf borderId="4" fillId="4" fontId="3" numFmtId="0" xfId="0" applyAlignment="1" applyBorder="1" applyFont="1">
      <alignment readingOrder="0" shrinkToFit="0" wrapText="1"/>
    </xf>
    <xf borderId="10" fillId="6" fontId="8" numFmtId="0" xfId="0" applyAlignment="1" applyBorder="1" applyFont="1">
      <alignment horizontal="right" readingOrder="0" vertical="bottom"/>
    </xf>
    <xf borderId="0" fillId="0" fontId="13" numFmtId="0" xfId="0" applyAlignment="1" applyFont="1">
      <alignment horizontal="right" readingOrder="0"/>
    </xf>
    <xf borderId="10" fillId="3" fontId="8" numFmtId="0" xfId="0" applyAlignment="1" applyBorder="1" applyFont="1">
      <alignment horizontal="right" readingOrder="0" vertical="bottom"/>
    </xf>
    <xf borderId="10" fillId="2" fontId="7" numFmtId="0" xfId="0" applyAlignment="1" applyBorder="1" applyFont="1">
      <alignment horizontal="center" readingOrder="0" shrinkToFit="0" vertical="bottom" wrapText="1"/>
    </xf>
    <xf borderId="10" fillId="2" fontId="7" numFmtId="0" xfId="0" applyAlignment="1" applyBorder="1" applyFont="1">
      <alignment readingOrder="0" shrinkToFit="0" vertical="bottom" wrapText="1"/>
    </xf>
    <xf borderId="10" fillId="0" fontId="7" numFmtId="0" xfId="0" applyAlignment="1" applyBorder="1" applyFont="1">
      <alignment horizontal="right" readingOrder="0" vertical="bottom"/>
    </xf>
    <xf borderId="10" fillId="3" fontId="18" numFmtId="0" xfId="0" applyAlignment="1" applyBorder="1" applyFont="1">
      <alignment horizontal="right" vertical="bottom"/>
    </xf>
    <xf borderId="10" fillId="0" fontId="8" numFmtId="3" xfId="0" applyAlignment="1" applyBorder="1" applyFont="1" applyNumberFormat="1">
      <alignment horizontal="right" vertical="bottom"/>
    </xf>
    <xf borderId="10" fillId="3" fontId="18" numFmtId="0" xfId="0" applyAlignment="1" applyBorder="1" applyFont="1">
      <alignment horizontal="right" readingOrder="0" vertical="bottom"/>
    </xf>
    <xf borderId="10" fillId="0" fontId="8" numFmtId="0" xfId="0" applyAlignment="1" applyBorder="1" applyFont="1">
      <alignment horizontal="right" readingOrder="0" vertical="bottom"/>
    </xf>
    <xf borderId="0" fillId="0" fontId="3" numFmtId="0" xfId="0" applyAlignment="1" applyFont="1">
      <alignment horizontal="right" readingOrder="0"/>
    </xf>
    <xf borderId="0" fillId="0" fontId="3" numFmtId="0" xfId="0" applyAlignment="1" applyFont="1">
      <alignment readingOrder="0"/>
    </xf>
    <xf borderId="14" fillId="4" fontId="8" numFmtId="0" xfId="0" applyAlignment="1" applyBorder="1" applyFont="1">
      <alignment horizontal="center" readingOrder="0" shrinkToFit="0" vertical="bottom" wrapText="1"/>
    </xf>
    <xf borderId="0" fillId="4" fontId="8" numFmtId="0" xfId="0" applyAlignment="1" applyFont="1">
      <alignment horizontal="center" readingOrder="0" shrinkToFit="0" vertical="bottom" wrapText="1"/>
    </xf>
    <xf borderId="0" fillId="0" fontId="13" numFmtId="0" xfId="0" applyAlignment="1" applyFont="1">
      <alignment horizontal="center" readingOrder="0" shrinkToFit="0" wrapText="1"/>
    </xf>
    <xf borderId="1" fillId="0" fontId="13" numFmtId="0" xfId="0" applyAlignment="1" applyBorder="1" applyFont="1">
      <alignment readingOrder="0" shrinkToFit="0" wrapText="1"/>
    </xf>
    <xf borderId="0" fillId="0" fontId="3" numFmtId="0" xfId="0" applyAlignment="1" applyFont="1">
      <alignment shrinkToFit="0" wrapText="1"/>
    </xf>
    <xf borderId="10" fillId="5" fontId="7" numFmtId="9" xfId="0" applyAlignment="1" applyBorder="1" applyFont="1" applyNumberFormat="1">
      <alignment horizontal="right" readingOrder="0" vertical="bottom"/>
    </xf>
    <xf borderId="4" fillId="0" fontId="7" numFmtId="0" xfId="0" applyBorder="1" applyFont="1"/>
    <xf borderId="0" fillId="0" fontId="8" numFmtId="3" xfId="0" applyAlignment="1" applyFont="1" applyNumberFormat="1">
      <alignment horizontal="right" vertical="bottom"/>
    </xf>
    <xf borderId="0" fillId="0" fontId="8" numFmtId="9" xfId="0" applyAlignment="1" applyFont="1" applyNumberFormat="1">
      <alignment horizontal="right" vertical="bottom"/>
    </xf>
    <xf borderId="0" fillId="0" fontId="8" numFmtId="0" xfId="0" applyAlignment="1" applyFont="1">
      <alignment horizontal="right" readingOrder="0" vertical="bottom"/>
    </xf>
    <xf borderId="0" fillId="2" fontId="11" numFmtId="0" xfId="0" applyAlignment="1" applyFont="1">
      <alignment horizontal="center" readingOrder="0"/>
    </xf>
    <xf borderId="0" fillId="2" fontId="19" numFmtId="0" xfId="0" applyAlignment="1" applyFont="1">
      <alignment horizontal="center" readingOrder="0"/>
    </xf>
    <xf borderId="0" fillId="5" fontId="7" numFmtId="0" xfId="0" applyAlignment="1" applyFont="1">
      <alignment horizontal="left" readingOrder="0" shrinkToFit="0" vertical="top" wrapText="1"/>
    </xf>
    <xf borderId="0" fillId="5" fontId="5" numFmtId="0" xfId="0" applyAlignment="1" applyFont="1">
      <alignment horizontal="left" readingOrder="0" shrinkToFit="0" wrapText="1"/>
    </xf>
    <xf borderId="0" fillId="3" fontId="3" numFmtId="0" xfId="0" applyAlignment="1" applyFont="1">
      <alignment horizontal="left" readingOrder="0" shrinkToFit="0" wrapText="1"/>
    </xf>
    <xf borderId="1" fillId="0" fontId="3" numFmtId="0" xfId="0" applyAlignment="1" applyBorder="1" applyFont="1">
      <alignment readingOrder="0" shrinkToFit="0" wrapText="1"/>
    </xf>
    <xf borderId="0" fillId="5" fontId="13" numFmtId="0" xfId="0" applyAlignment="1" applyFont="1">
      <alignment horizontal="left" readingOrder="0"/>
    </xf>
    <xf borderId="0" fillId="2" fontId="13" numFmtId="0" xfId="0" applyAlignment="1" applyFont="1">
      <alignment horizontal="center" readingOrder="0"/>
    </xf>
    <xf borderId="0" fillId="5" fontId="8" numFmtId="0" xfId="0" applyAlignment="1" applyFont="1">
      <alignment horizontal="left" readingOrder="0" shrinkToFit="0" vertical="bottom" wrapText="0"/>
    </xf>
    <xf borderId="0" fillId="5" fontId="8" numFmtId="0" xfId="0" applyAlignment="1" applyFont="1">
      <alignment horizontal="center" readingOrder="0" vertical="bottom"/>
    </xf>
    <xf borderId="0" fillId="4" fontId="8" numFmtId="0" xfId="0" applyAlignment="1" applyFont="1">
      <alignment horizontal="center" readingOrder="0" vertical="bottom"/>
    </xf>
    <xf borderId="0" fillId="5" fontId="6" numFmtId="0" xfId="0" applyAlignment="1" applyFont="1">
      <alignment horizontal="left" readingOrder="0" shrinkToFit="0" wrapText="1"/>
    </xf>
    <xf borderId="0" fillId="5" fontId="8" numFmtId="0" xfId="0" applyAlignment="1" applyFont="1">
      <alignment horizontal="center" readingOrder="0" shrinkToFit="0" vertical="bottom" wrapText="1"/>
    </xf>
    <xf borderId="0" fillId="3" fontId="8" numFmtId="0" xfId="0" applyAlignment="1" applyFont="1">
      <alignment horizontal="center" readingOrder="0" shrinkToFit="0" vertical="bottom" wrapText="1"/>
    </xf>
    <xf borderId="0" fillId="0" fontId="20" numFmtId="0" xfId="0" applyFont="1"/>
    <xf borderId="0" fillId="8" fontId="13" numFmtId="0" xfId="0" applyAlignment="1" applyFill="1" applyFont="1">
      <alignment horizontal="left" readingOrder="0"/>
    </xf>
    <xf borderId="1" fillId="2" fontId="21" numFmtId="0" xfId="0" applyAlignment="1" applyBorder="1" applyFont="1">
      <alignment horizontal="center" readingOrder="0"/>
    </xf>
    <xf borderId="0" fillId="0" fontId="22" numFmtId="0" xfId="0" applyAlignment="1" applyFont="1">
      <alignment horizontal="center" readingOrder="0" vertical="center"/>
    </xf>
    <xf borderId="10" fillId="2" fontId="21" numFmtId="0" xfId="0" applyAlignment="1" applyBorder="1" applyFont="1">
      <alignment horizontal="center" readingOrder="0" shrinkToFit="0" vertical="bottom" wrapText="1"/>
    </xf>
    <xf borderId="1" fillId="2" fontId="21" numFmtId="0" xfId="0" applyAlignment="1" applyBorder="1" applyFont="1">
      <alignment horizontal="center" readingOrder="0" vertical="bottom"/>
    </xf>
    <xf borderId="14" fillId="2" fontId="22" numFmtId="0" xfId="0" applyAlignment="1" applyBorder="1" applyFont="1">
      <alignment horizontal="center" readingOrder="0" shrinkToFit="0" wrapText="1"/>
    </xf>
    <xf borderId="14" fillId="2" fontId="6" numFmtId="0" xfId="0" applyAlignment="1" applyBorder="1" applyFont="1">
      <alignment horizontal="center" readingOrder="0" shrinkToFit="0" wrapText="1"/>
    </xf>
    <xf borderId="10" fillId="9" fontId="21" numFmtId="0" xfId="0" applyAlignment="1" applyBorder="1" applyFill="1" applyFont="1">
      <alignment horizontal="center" vertical="bottom"/>
    </xf>
    <xf borderId="10" fillId="9" fontId="21" numFmtId="3" xfId="0" applyAlignment="1" applyBorder="1" applyFont="1" applyNumberFormat="1">
      <alignment horizontal="center" vertical="bottom"/>
    </xf>
    <xf borderId="10" fillId="9" fontId="21" numFmtId="1" xfId="0" applyAlignment="1" applyBorder="1" applyFont="1" applyNumberFormat="1">
      <alignment horizontal="center" vertical="bottom"/>
    </xf>
    <xf borderId="4" fillId="0" fontId="20" numFmtId="0" xfId="0" applyBorder="1" applyFont="1"/>
    <xf borderId="10" fillId="9" fontId="23" numFmtId="0" xfId="0" applyAlignment="1" applyBorder="1" applyFont="1">
      <alignment horizontal="center" vertical="bottom"/>
    </xf>
    <xf borderId="10" fillId="9" fontId="23" numFmtId="3" xfId="0" applyAlignment="1" applyBorder="1" applyFont="1" applyNumberFormat="1">
      <alignment horizontal="center" readingOrder="0" vertical="bottom"/>
    </xf>
    <xf borderId="10" fillId="10" fontId="23" numFmtId="9" xfId="0" applyAlignment="1" applyBorder="1" applyFill="1" applyFont="1" applyNumberFormat="1">
      <alignment horizontal="center" vertical="bottom"/>
    </xf>
    <xf borderId="10" fillId="8" fontId="23" numFmtId="9" xfId="0" applyAlignment="1" applyBorder="1" applyFont="1" applyNumberFormat="1">
      <alignment horizontal="center" readingOrder="0" vertical="bottom"/>
    </xf>
    <xf borderId="10" fillId="11" fontId="23" numFmtId="9" xfId="0" applyAlignment="1" applyBorder="1" applyFill="1" applyFont="1" applyNumberFormat="1">
      <alignment horizontal="center" vertical="bottom"/>
    </xf>
    <xf borderId="10" fillId="12" fontId="23" numFmtId="9" xfId="0" applyAlignment="1" applyBorder="1" applyFill="1" applyFont="1" applyNumberFormat="1">
      <alignment horizontal="center" vertical="bottom"/>
    </xf>
    <xf borderId="10" fillId="8" fontId="20" numFmtId="1" xfId="0" applyAlignment="1" applyBorder="1" applyFont="1" applyNumberFormat="1">
      <alignment horizontal="center" readingOrder="0"/>
    </xf>
    <xf borderId="10" fillId="8" fontId="20" numFmtId="9" xfId="0" applyAlignment="1" applyBorder="1" applyFont="1" applyNumberFormat="1">
      <alignment horizontal="center" readingOrder="0"/>
    </xf>
    <xf borderId="10" fillId="13" fontId="23" numFmtId="9" xfId="0" applyAlignment="1" applyBorder="1" applyFill="1" applyFont="1" applyNumberFormat="1">
      <alignment horizontal="center" vertical="bottom"/>
    </xf>
    <xf borderId="10" fillId="4" fontId="20" numFmtId="9" xfId="0" applyAlignment="1" applyBorder="1" applyFont="1" applyNumberFormat="1">
      <alignment horizontal="center"/>
    </xf>
    <xf borderId="10" fillId="14" fontId="23" numFmtId="9" xfId="0" applyAlignment="1" applyBorder="1" applyFill="1" applyFont="1" applyNumberFormat="1">
      <alignment horizontal="center" vertical="bottom"/>
    </xf>
    <xf borderId="10" fillId="15" fontId="23" numFmtId="9" xfId="0" applyAlignment="1" applyBorder="1" applyFill="1" applyFont="1" applyNumberFormat="1">
      <alignment horizontal="center" vertical="bottom"/>
    </xf>
    <xf borderId="10" fillId="4" fontId="20" numFmtId="1" xfId="0" applyAlignment="1" applyBorder="1" applyFont="1" applyNumberFormat="1">
      <alignment horizontal="center"/>
    </xf>
    <xf borderId="10" fillId="16" fontId="23" numFmtId="9" xfId="0" applyAlignment="1" applyBorder="1" applyFill="1" applyFont="1" applyNumberFormat="1">
      <alignment horizontal="center" vertical="bottom"/>
    </xf>
    <xf borderId="10" fillId="17" fontId="23" numFmtId="9" xfId="0" applyAlignment="1" applyBorder="1" applyFill="1" applyFont="1" applyNumberFormat="1">
      <alignment horizontal="center" vertical="bottom"/>
    </xf>
    <xf borderId="10" fillId="18" fontId="23" numFmtId="9" xfId="0" applyAlignment="1" applyBorder="1" applyFill="1" applyFont="1" applyNumberFormat="1">
      <alignment horizontal="center" vertical="bottom"/>
    </xf>
    <xf borderId="10" fillId="19" fontId="23" numFmtId="9" xfId="0" applyAlignment="1" applyBorder="1" applyFill="1" applyFont="1" applyNumberFormat="1">
      <alignment horizontal="center" vertical="bottom"/>
    </xf>
    <xf borderId="10" fillId="20" fontId="23" numFmtId="9" xfId="0" applyAlignment="1" applyBorder="1" applyFill="1" applyFont="1" applyNumberFormat="1">
      <alignment horizontal="center" vertical="bottom"/>
    </xf>
    <xf borderId="10" fillId="9" fontId="23" numFmtId="0" xfId="0" applyAlignment="1" applyBorder="1" applyFont="1">
      <alignment horizontal="center" readingOrder="0" vertical="bottom"/>
    </xf>
    <xf borderId="10" fillId="21" fontId="23" numFmtId="9" xfId="0" applyAlignment="1" applyBorder="1" applyFill="1" applyFont="1" applyNumberFormat="1">
      <alignment horizontal="center" vertical="bottom"/>
    </xf>
    <xf borderId="10" fillId="22" fontId="23" numFmtId="9" xfId="0" applyAlignment="1" applyBorder="1" applyFill="1" applyFont="1" applyNumberFormat="1">
      <alignment horizontal="center" vertical="bottom"/>
    </xf>
    <xf borderId="10" fillId="23" fontId="23" numFmtId="9" xfId="0" applyAlignment="1" applyBorder="1" applyFill="1" applyFont="1" applyNumberFormat="1">
      <alignment horizontal="center" vertical="bottom"/>
    </xf>
    <xf borderId="10" fillId="24" fontId="23" numFmtId="9" xfId="0" applyAlignment="1" applyBorder="1" applyFill="1" applyFont="1" applyNumberFormat="1">
      <alignment horizontal="center" vertical="bottom"/>
    </xf>
    <xf borderId="10" fillId="9" fontId="21" numFmtId="164" xfId="0" applyAlignment="1" applyBorder="1" applyFont="1" applyNumberFormat="1">
      <alignment horizontal="center" vertical="bottom"/>
    </xf>
    <xf borderId="10" fillId="9" fontId="24" numFmtId="3" xfId="0" applyAlignment="1" applyBorder="1" applyFont="1" applyNumberFormat="1">
      <alignment horizontal="center" vertical="bottom"/>
    </xf>
    <xf borderId="10" fillId="9" fontId="24" numFmtId="9" xfId="0" applyAlignment="1" applyBorder="1" applyFont="1" applyNumberFormat="1">
      <alignment horizontal="center" vertical="bottom"/>
    </xf>
    <xf borderId="10" fillId="4" fontId="20" numFmtId="3" xfId="0" applyAlignment="1" applyBorder="1" applyFont="1" applyNumberFormat="1">
      <alignment horizontal="center"/>
    </xf>
    <xf borderId="4" fillId="2" fontId="13" numFmtId="0" xfId="0" applyAlignment="1" applyBorder="1" applyFont="1">
      <alignment horizontal="center" readingOrder="0" shrinkToFit="0" vertical="center" wrapText="1"/>
    </xf>
    <xf borderId="4" fillId="4" fontId="20" numFmtId="0" xfId="0" applyAlignment="1" applyBorder="1" applyFont="1">
      <alignment horizontal="left" readingOrder="0" shrinkToFit="0" vertical="top" wrapText="1"/>
    </xf>
    <xf borderId="4" fillId="4" fontId="20" numFmtId="0" xfId="0" applyAlignment="1" applyBorder="1" applyFont="1">
      <alignment horizontal="left" readingOrder="0" shrinkToFit="0" vertical="top" wrapText="1"/>
    </xf>
    <xf borderId="10" fillId="2" fontId="21" numFmtId="0" xfId="0" applyAlignment="1" applyBorder="1" applyFont="1">
      <alignment horizontal="center" shrinkToFit="0" vertical="bottom" wrapText="1"/>
    </xf>
    <xf borderId="10" fillId="9" fontId="23" numFmtId="3" xfId="0" applyAlignment="1" applyBorder="1" applyFont="1" applyNumberFormat="1">
      <alignment horizontal="center" vertical="bottom"/>
    </xf>
    <xf borderId="10" fillId="9" fontId="21" numFmtId="0" xfId="0" applyAlignment="1" applyBorder="1" applyFont="1">
      <alignment horizontal="center" readingOrder="0" vertical="bottom"/>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2">
    <tableStyle count="3" pivot="0" name="Tab 8 - Segment Analysis-style">
      <tableStyleElement dxfId="1" type="headerRow"/>
      <tableStyleElement dxfId="2" type="firstRowStripe"/>
      <tableStyleElement dxfId="3" type="secondRowStripe"/>
    </tableStyle>
    <tableStyle count="3" pivot="0" name="Tab 8 - Segment Analysis-style 2">
      <tableStyleElement dxfId="1" type="headerRow"/>
      <tableStyleElement dxfId="2" type="firstRowStripe"/>
      <tableStyleElement dxfId="3" type="secondRowStripe"/>
    </tableStyle>
    <tableStyle count="3" pivot="0" name="Tab 8 - Segment Analysis-style 3">
      <tableStyleElement dxfId="1" type="headerRow"/>
      <tableStyleElement dxfId="2" type="firstRowStripe"/>
      <tableStyleElement dxfId="3" type="secondRowStripe"/>
    </tableStyle>
    <tableStyle count="3" pivot="0" name="Tab 8 - Segment Analysis-style 4">
      <tableStyleElement dxfId="1" type="headerRow"/>
      <tableStyleElement dxfId="2" type="firstRowStripe"/>
      <tableStyleElement dxfId="3" type="secondRowStripe"/>
    </tableStyle>
    <tableStyle count="3" pivot="0" name="Tab 8 - Segment Analysis-style 5">
      <tableStyleElement dxfId="1" type="headerRow"/>
      <tableStyleElement dxfId="2" type="firstRowStripe"/>
      <tableStyleElement dxfId="3" type="secondRowStripe"/>
    </tableStyle>
    <tableStyle count="3" pivot="0" name="Tab 8 - Segment Analysis-style 6">
      <tableStyleElement dxfId="1" type="headerRow"/>
      <tableStyleElement dxfId="2" type="firstRowStripe"/>
      <tableStyleElement dxfId="3" type="secondRowStripe"/>
    </tableStyle>
    <tableStyle count="3" pivot="0" name="Tab 8 - Segment Analysis-style 7">
      <tableStyleElement dxfId="1" type="headerRow"/>
      <tableStyleElement dxfId="2" type="firstRowStripe"/>
      <tableStyleElement dxfId="3" type="secondRowStripe"/>
    </tableStyle>
    <tableStyle count="3" pivot="0" name="Tab 8 - Segment Analysis-style 8">
      <tableStyleElement dxfId="1" type="headerRow"/>
      <tableStyleElement dxfId="2" type="firstRowStripe"/>
      <tableStyleElement dxfId="3" type="secondRowStripe"/>
    </tableStyle>
    <tableStyle count="3" pivot="0" name="Tab 8 - Segment Analysis-style 9">
      <tableStyleElement dxfId="1" type="headerRow"/>
      <tableStyleElement dxfId="2" type="firstRowStripe"/>
      <tableStyleElement dxfId="3" type="secondRowStripe"/>
    </tableStyle>
    <tableStyle count="3" pivot="0" name="Tab 8 - Segment Analysis-style 10">
      <tableStyleElement dxfId="1" type="headerRow"/>
      <tableStyleElement dxfId="2" type="firstRowStripe"/>
      <tableStyleElement dxfId="3" type="secondRowStripe"/>
    </tableStyle>
    <tableStyle count="3" pivot="0" name="Tab 8 - Segment Analysis-style 11">
      <tableStyleElement dxfId="1" type="headerRow"/>
      <tableStyleElement dxfId="2" type="firstRowStripe"/>
      <tableStyleElement dxfId="3" type="secondRowStripe"/>
    </tableStyle>
    <tableStyle count="3" pivot="0" name="Tab 8 - Segment Analysis-style 12">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 Overlap vs (log-ins)</a:t>
            </a:r>
          </a:p>
        </c:rich>
      </c:tx>
      <c:overlay val="0"/>
    </c:title>
    <c:plotArea>
      <c:layout/>
      <c:lineChart>
        <c:varyColors val="0"/>
        <c:ser>
          <c:idx val="0"/>
          <c:order val="0"/>
          <c:tx>
            <c:strRef>
              <c:f>'Tab 4 - Habit Moment and Metric'!$F$26:$F$29</c:f>
            </c:strRef>
          </c:tx>
          <c:spPr>
            <a:ln cmpd="sng">
              <a:solidFill>
                <a:srgbClr val="4285F4"/>
              </a:solidFill>
            </a:ln>
          </c:spPr>
          <c:marker>
            <c:symbol val="none"/>
          </c:marker>
          <c:cat>
            <c:strRef>
              <c:f>'Tab 4 - Habit Moment and Metric'!$A$30:$A$36</c:f>
            </c:strRef>
          </c:cat>
          <c:val>
            <c:numRef>
              <c:f>'Tab 4 - Habit Moment and Metric'!$F$30:$F$36</c:f>
              <c:numCache/>
            </c:numRef>
          </c:val>
          <c:smooth val="0"/>
        </c:ser>
        <c:axId val="1375713022"/>
        <c:axId val="94190020"/>
      </c:lineChart>
      <c:catAx>
        <c:axId val="137571302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(log-ins)</a:t>
                </a:r>
              </a:p>
            </c:rich>
          </c:tx>
          <c:overlay val="0"/>
        </c:title>
        <c:numFmt formatCode="General" sourceLinked="1"/>
        <c:majorTickMark val="none"/>
        <c:minorTickMark val="none"/>
        <c:spPr/>
        <c:txPr>
          <a:bodyPr/>
          <a:lstStyle/>
          <a:p>
            <a:pPr lvl="0">
              <a:defRPr b="0">
                <a:solidFill>
                  <a:srgbClr val="000000"/>
                </a:solidFill>
                <a:latin typeface="+mn-lt"/>
              </a:defRPr>
            </a:pPr>
          </a:p>
        </c:txPr>
        <c:crossAx val="94190020"/>
      </c:catAx>
      <c:valAx>
        <c:axId val="9419002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Overlap</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75713022"/>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 Overlap vs Messages</a:t>
            </a:r>
          </a:p>
        </c:rich>
      </c:tx>
      <c:overlay val="0"/>
    </c:title>
    <c:plotArea>
      <c:layout/>
      <c:lineChart>
        <c:varyColors val="0"/>
        <c:ser>
          <c:idx val="0"/>
          <c:order val="0"/>
          <c:tx>
            <c:strRef>
              <c:f>'Tab 4 - Habit Moment and Metric'!$F$38:$F$41</c:f>
            </c:strRef>
          </c:tx>
          <c:spPr>
            <a:ln cmpd="sng">
              <a:solidFill>
                <a:srgbClr val="4285F4"/>
              </a:solidFill>
            </a:ln>
          </c:spPr>
          <c:marker>
            <c:symbol val="none"/>
          </c:marker>
          <c:cat>
            <c:strRef>
              <c:f>'Tab 4 - Habit Moment and Metric'!$A$42:$A$48</c:f>
            </c:strRef>
          </c:cat>
          <c:val>
            <c:numRef>
              <c:f>'Tab 4 - Habit Moment and Metric'!$F$42:$F$48</c:f>
              <c:numCache/>
            </c:numRef>
          </c:val>
          <c:smooth val="0"/>
        </c:ser>
        <c:axId val="465705134"/>
        <c:axId val="1923958430"/>
      </c:lineChart>
      <c:catAx>
        <c:axId val="46570513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Messages</a:t>
                </a:r>
              </a:p>
            </c:rich>
          </c:tx>
          <c:overlay val="0"/>
        </c:title>
        <c:numFmt formatCode="General" sourceLinked="1"/>
        <c:majorTickMark val="none"/>
        <c:minorTickMark val="none"/>
        <c:spPr/>
        <c:txPr>
          <a:bodyPr/>
          <a:lstStyle/>
          <a:p>
            <a:pPr lvl="0">
              <a:defRPr b="0">
                <a:solidFill>
                  <a:srgbClr val="000000"/>
                </a:solidFill>
                <a:latin typeface="+mn-lt"/>
              </a:defRPr>
            </a:pPr>
          </a:p>
        </c:txPr>
        <c:crossAx val="1923958430"/>
      </c:catAx>
      <c:valAx>
        <c:axId val="192395843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Overlap</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65705134"/>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 Overlap vs Days Taken</a:t>
            </a:r>
          </a:p>
        </c:rich>
      </c:tx>
      <c:overlay val="0"/>
    </c:title>
    <c:plotArea>
      <c:layout/>
      <c:lineChart>
        <c:varyColors val="0"/>
        <c:ser>
          <c:idx val="0"/>
          <c:order val="0"/>
          <c:tx>
            <c:strRef>
              <c:f>'Tab 5 - Aha Moment and Metric A'!$F$13:$F$16</c:f>
            </c:strRef>
          </c:tx>
          <c:spPr>
            <a:ln cmpd="sng">
              <a:solidFill>
                <a:srgbClr val="4285F4"/>
              </a:solidFill>
            </a:ln>
          </c:spPr>
          <c:marker>
            <c:symbol val="none"/>
          </c:marker>
          <c:cat>
            <c:strRef>
              <c:f>'Tab 5 - Aha Moment and Metric A'!$A$17:$A$23</c:f>
            </c:strRef>
          </c:cat>
          <c:val>
            <c:numRef>
              <c:f>'Tab 5 - Aha Moment and Metric A'!$F$17:$F$23</c:f>
              <c:numCache/>
            </c:numRef>
          </c:val>
          <c:smooth val="0"/>
        </c:ser>
        <c:axId val="2052948774"/>
        <c:axId val="617135761"/>
      </c:lineChart>
      <c:catAx>
        <c:axId val="205294877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Days Taken</a:t>
                </a:r>
              </a:p>
            </c:rich>
          </c:tx>
          <c:overlay val="0"/>
        </c:title>
        <c:numFmt formatCode="General" sourceLinked="1"/>
        <c:majorTickMark val="none"/>
        <c:minorTickMark val="none"/>
        <c:spPr/>
        <c:txPr>
          <a:bodyPr/>
          <a:lstStyle/>
          <a:p>
            <a:pPr lvl="0">
              <a:defRPr b="0">
                <a:solidFill>
                  <a:srgbClr val="000000"/>
                </a:solidFill>
                <a:latin typeface="+mn-lt"/>
              </a:defRPr>
            </a:pPr>
          </a:p>
        </c:txPr>
        <c:crossAx val="617135761"/>
      </c:catAx>
      <c:valAx>
        <c:axId val="61713576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Overlap</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52948774"/>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 Overlap vs Days Taken</a:t>
            </a:r>
          </a:p>
        </c:rich>
      </c:tx>
      <c:overlay val="0"/>
    </c:title>
    <c:plotArea>
      <c:layout/>
      <c:lineChart>
        <c:varyColors val="0"/>
        <c:ser>
          <c:idx val="0"/>
          <c:order val="0"/>
          <c:tx>
            <c:strRef>
              <c:f>'Tab 5 - Aha Moment and Metric A'!$F$28</c:f>
            </c:strRef>
          </c:tx>
          <c:spPr>
            <a:ln cmpd="sng">
              <a:solidFill>
                <a:srgbClr val="4285F4"/>
              </a:solidFill>
            </a:ln>
          </c:spPr>
          <c:marker>
            <c:symbol val="none"/>
          </c:marker>
          <c:cat>
            <c:strRef>
              <c:f>'Tab 5 - Aha Moment and Metric A'!$A$29:$A$35</c:f>
            </c:strRef>
          </c:cat>
          <c:val>
            <c:numRef>
              <c:f>'Tab 5 - Aha Moment and Metric A'!$F$29:$F$35</c:f>
              <c:numCache/>
            </c:numRef>
          </c:val>
          <c:smooth val="0"/>
        </c:ser>
        <c:axId val="611725634"/>
        <c:axId val="901503115"/>
      </c:lineChart>
      <c:catAx>
        <c:axId val="61172563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Days Taken</a:t>
                </a:r>
              </a:p>
            </c:rich>
          </c:tx>
          <c:overlay val="0"/>
        </c:title>
        <c:numFmt formatCode="General" sourceLinked="1"/>
        <c:majorTickMark val="none"/>
        <c:minorTickMark val="none"/>
        <c:spPr/>
        <c:txPr>
          <a:bodyPr/>
          <a:lstStyle/>
          <a:p>
            <a:pPr lvl="0">
              <a:defRPr b="0">
                <a:solidFill>
                  <a:srgbClr val="000000"/>
                </a:solidFill>
                <a:latin typeface="+mn-lt"/>
              </a:defRPr>
            </a:pPr>
          </a:p>
        </c:txPr>
        <c:crossAx val="901503115"/>
      </c:catAx>
      <c:valAx>
        <c:axId val="90150311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Overlap</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11725634"/>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 Overlap vs Days Taken</a:t>
            </a:r>
          </a:p>
        </c:rich>
      </c:tx>
      <c:overlay val="0"/>
    </c:title>
    <c:plotArea>
      <c:layout/>
      <c:lineChart>
        <c:varyColors val="0"/>
        <c:ser>
          <c:idx val="0"/>
          <c:order val="0"/>
          <c:tx>
            <c:strRef>
              <c:f>'Tab 5 - Aha Moment and Metric A'!$F$37:$F$40</c:f>
            </c:strRef>
          </c:tx>
          <c:spPr>
            <a:ln cmpd="sng">
              <a:solidFill>
                <a:srgbClr val="4285F4"/>
              </a:solidFill>
            </a:ln>
          </c:spPr>
          <c:marker>
            <c:symbol val="none"/>
          </c:marker>
          <c:cat>
            <c:strRef>
              <c:f>'Tab 5 - Aha Moment and Metric A'!$A$41:$A$47</c:f>
            </c:strRef>
          </c:cat>
          <c:val>
            <c:numRef>
              <c:f>'Tab 5 - Aha Moment and Metric A'!$F$41:$F$47</c:f>
              <c:numCache/>
            </c:numRef>
          </c:val>
          <c:smooth val="0"/>
        </c:ser>
        <c:axId val="1087739531"/>
        <c:axId val="375631181"/>
      </c:lineChart>
      <c:catAx>
        <c:axId val="108773953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Days Taken</a:t>
                </a:r>
              </a:p>
            </c:rich>
          </c:tx>
          <c:overlay val="0"/>
        </c:title>
        <c:numFmt formatCode="General" sourceLinked="1"/>
        <c:majorTickMark val="none"/>
        <c:minorTickMark val="none"/>
        <c:spPr/>
        <c:txPr>
          <a:bodyPr/>
          <a:lstStyle/>
          <a:p>
            <a:pPr lvl="0">
              <a:defRPr b="0">
                <a:solidFill>
                  <a:srgbClr val="000000"/>
                </a:solidFill>
                <a:latin typeface="+mn-lt"/>
              </a:defRPr>
            </a:pPr>
          </a:p>
        </c:txPr>
        <c:crossAx val="375631181"/>
      </c:catAx>
      <c:valAx>
        <c:axId val="37563118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Overlap</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87739531"/>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 Overlap vs Users Invited</a:t>
            </a:r>
          </a:p>
        </c:rich>
      </c:tx>
      <c:overlay val="0"/>
    </c:title>
    <c:plotArea>
      <c:layout/>
      <c:lineChart>
        <c:varyColors val="0"/>
        <c:ser>
          <c:idx val="0"/>
          <c:order val="0"/>
          <c:tx>
            <c:strRef>
              <c:f>'Tab 6 - Setup Moment and Metric'!$F$36:$F$39</c:f>
            </c:strRef>
          </c:tx>
          <c:spPr>
            <a:ln cmpd="sng">
              <a:solidFill>
                <a:srgbClr val="4285F4"/>
              </a:solidFill>
            </a:ln>
          </c:spPr>
          <c:marker>
            <c:symbol val="none"/>
          </c:marker>
          <c:cat>
            <c:strRef>
              <c:f>'Tab 6 - Setup Moment and Metric'!$A$40:$A$46</c:f>
            </c:strRef>
          </c:cat>
          <c:val>
            <c:numRef>
              <c:f>'Tab 6 - Setup Moment and Metric'!$F$40:$F$46</c:f>
              <c:numCache/>
            </c:numRef>
          </c:val>
          <c:smooth val="0"/>
        </c:ser>
        <c:axId val="948255799"/>
        <c:axId val="1456848128"/>
      </c:lineChart>
      <c:catAx>
        <c:axId val="94825579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Users Invited</a:t>
                </a:r>
              </a:p>
            </c:rich>
          </c:tx>
          <c:overlay val="0"/>
        </c:title>
        <c:numFmt formatCode="General" sourceLinked="1"/>
        <c:majorTickMark val="none"/>
        <c:minorTickMark val="none"/>
        <c:spPr/>
        <c:txPr>
          <a:bodyPr/>
          <a:lstStyle/>
          <a:p>
            <a:pPr lvl="0">
              <a:defRPr b="0">
                <a:solidFill>
                  <a:srgbClr val="000000"/>
                </a:solidFill>
                <a:latin typeface="+mn-lt"/>
              </a:defRPr>
            </a:pPr>
          </a:p>
        </c:txPr>
        <c:crossAx val="1456848128"/>
      </c:catAx>
      <c:valAx>
        <c:axId val="145684812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Overlap</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48255799"/>
      </c:valAx>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 Overlap vs Days Taken</a:t>
            </a:r>
          </a:p>
        </c:rich>
      </c:tx>
      <c:overlay val="0"/>
    </c:title>
    <c:plotArea>
      <c:layout/>
      <c:lineChart>
        <c:varyColors val="0"/>
        <c:ser>
          <c:idx val="0"/>
          <c:order val="0"/>
          <c:tx>
            <c:strRef>
              <c:f>'Tab 6 - Setup Moment and Metric'!$F$24:$F$27</c:f>
            </c:strRef>
          </c:tx>
          <c:spPr>
            <a:ln cmpd="sng">
              <a:solidFill>
                <a:srgbClr val="4285F4"/>
              </a:solidFill>
            </a:ln>
          </c:spPr>
          <c:marker>
            <c:symbol val="none"/>
          </c:marker>
          <c:cat>
            <c:strRef>
              <c:f>'Tab 6 - Setup Moment and Metric'!$A$28:$A$34</c:f>
            </c:strRef>
          </c:cat>
          <c:val>
            <c:numRef>
              <c:f>'Tab 6 - Setup Moment and Metric'!$F$28:$F$34</c:f>
              <c:numCache/>
            </c:numRef>
          </c:val>
          <c:smooth val="0"/>
        </c:ser>
        <c:axId val="1685756465"/>
        <c:axId val="439489535"/>
      </c:lineChart>
      <c:catAx>
        <c:axId val="168575646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Days Taken</a:t>
                </a:r>
              </a:p>
            </c:rich>
          </c:tx>
          <c:overlay val="0"/>
        </c:title>
        <c:numFmt formatCode="General" sourceLinked="1"/>
        <c:majorTickMark val="none"/>
        <c:minorTickMark val="none"/>
        <c:spPr/>
        <c:txPr>
          <a:bodyPr/>
          <a:lstStyle/>
          <a:p>
            <a:pPr lvl="0">
              <a:defRPr b="0">
                <a:solidFill>
                  <a:srgbClr val="000000"/>
                </a:solidFill>
                <a:latin typeface="+mn-lt"/>
              </a:defRPr>
            </a:pPr>
          </a:p>
        </c:txPr>
        <c:crossAx val="439489535"/>
      </c:catAx>
      <c:valAx>
        <c:axId val="43948953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Overlap</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85756465"/>
      </c:valAx>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%Overlap Vs Days Taken</a:t>
            </a:r>
          </a:p>
        </c:rich>
      </c:tx>
      <c:overlay val="0"/>
    </c:title>
    <c:plotArea>
      <c:layout/>
      <c:lineChart>
        <c:varyColors val="0"/>
        <c:ser>
          <c:idx val="0"/>
          <c:order val="0"/>
          <c:tx>
            <c:strRef>
              <c:f>'Tab 6 - Setup Moment and Metric'!$F$15</c:f>
            </c:strRef>
          </c:tx>
          <c:spPr>
            <a:ln cmpd="sng">
              <a:solidFill>
                <a:srgbClr val="4285F4"/>
              </a:solidFill>
            </a:ln>
          </c:spPr>
          <c:marker>
            <c:symbol val="none"/>
          </c:marker>
          <c:cat>
            <c:strRef>
              <c:f>'Tab 6 - Setup Moment and Metric'!$A$16:$A$22</c:f>
            </c:strRef>
          </c:cat>
          <c:val>
            <c:numRef>
              <c:f>'Tab 6 - Setup Moment and Metric'!$F$16:$F$22</c:f>
              <c:numCache/>
            </c:numRef>
          </c:val>
          <c:smooth val="0"/>
        </c:ser>
        <c:axId val="2133054984"/>
        <c:axId val="262356901"/>
      </c:lineChart>
      <c:catAx>
        <c:axId val="213305498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Days Taken</a:t>
                </a:r>
              </a:p>
            </c:rich>
          </c:tx>
          <c:overlay val="0"/>
        </c:title>
        <c:numFmt formatCode="General" sourceLinked="1"/>
        <c:majorTickMark val="none"/>
        <c:minorTickMark val="none"/>
        <c:spPr/>
        <c:txPr>
          <a:bodyPr rot="0"/>
          <a:lstStyle/>
          <a:p>
            <a:pPr lvl="0">
              <a:defRPr b="0">
                <a:solidFill>
                  <a:srgbClr val="000000"/>
                </a:solidFill>
                <a:latin typeface="+mn-lt"/>
              </a:defRPr>
            </a:pPr>
          </a:p>
        </c:txPr>
        <c:crossAx val="262356901"/>
      </c:catAx>
      <c:valAx>
        <c:axId val="26235690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Overlap</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133054984"/>
      </c:valAx>
    </c:plotArea>
    <c:legend>
      <c:legendPos val="r"/>
      <c:overlay val="0"/>
      <c:txPr>
        <a:bodyPr/>
        <a:lstStyle/>
        <a:p>
          <a:pPr lvl="0">
            <a:defRPr b="0">
              <a:solidFill>
                <a:srgbClr val="1A1A1A"/>
              </a:solidFill>
              <a:latin typeface="+mn-lt"/>
            </a:defRPr>
          </a:pPr>
        </a:p>
      </c:txPr>
    </c:legend>
    <c:plotVisOnly val="1"/>
  </c:chart>
</c:chartSpace>
</file>

<file path=xl/drawings/_rels/drawing5.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 Id="rId3"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 Id="rId2" Type="http://schemas.openxmlformats.org/officeDocument/2006/relationships/chart" Target="../charts/chart7.xml"/><Relationship Id="rId3"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0</xdr:colOff>
      <xdr:row>25</xdr:row>
      <xdr:rowOff>0</xdr:rowOff>
    </xdr:from>
    <xdr:ext cx="3848100" cy="23431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7</xdr:col>
      <xdr:colOff>0</xdr:colOff>
      <xdr:row>37</xdr:row>
      <xdr:rowOff>0</xdr:rowOff>
    </xdr:from>
    <xdr:ext cx="3848100" cy="234315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914400</xdr:colOff>
      <xdr:row>11</xdr:row>
      <xdr:rowOff>180975</xdr:rowOff>
    </xdr:from>
    <xdr:ext cx="3876675" cy="2400300"/>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6</xdr:col>
      <xdr:colOff>914400</xdr:colOff>
      <xdr:row>23</xdr:row>
      <xdr:rowOff>180975</xdr:rowOff>
    </xdr:from>
    <xdr:ext cx="3876675" cy="2362200"/>
    <xdr:graphicFrame>
      <xdr:nvGraphicFramePr>
        <xdr:cNvPr id="4" name="Chart 4"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6</xdr:col>
      <xdr:colOff>914400</xdr:colOff>
      <xdr:row>35</xdr:row>
      <xdr:rowOff>190500</xdr:rowOff>
    </xdr:from>
    <xdr:ext cx="3876675" cy="2362200"/>
    <xdr:graphicFrame>
      <xdr:nvGraphicFramePr>
        <xdr:cNvPr id="5" name="Chart 5"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923925</xdr:colOff>
      <xdr:row>34</xdr:row>
      <xdr:rowOff>180975</xdr:rowOff>
    </xdr:from>
    <xdr:ext cx="3886200" cy="2400300"/>
    <xdr:graphicFrame>
      <xdr:nvGraphicFramePr>
        <xdr:cNvPr id="6" name="Chart 6"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6</xdr:col>
      <xdr:colOff>923925</xdr:colOff>
      <xdr:row>22</xdr:row>
      <xdr:rowOff>171450</xdr:rowOff>
    </xdr:from>
    <xdr:ext cx="3886200" cy="2400300"/>
    <xdr:graphicFrame>
      <xdr:nvGraphicFramePr>
        <xdr:cNvPr id="7" name="Chart 7"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6</xdr:col>
      <xdr:colOff>923925</xdr:colOff>
      <xdr:row>10</xdr:row>
      <xdr:rowOff>161925</xdr:rowOff>
    </xdr:from>
    <xdr:ext cx="3886200" cy="2400300"/>
    <xdr:graphicFrame>
      <xdr:nvGraphicFramePr>
        <xdr:cNvPr id="8" name="Chart 8"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D63:D70" displayName="Table_1" id="1">
  <tableColumns count="1">
    <tableColumn name="Column1" id="1"/>
  </tableColumns>
  <tableStyleInfo name="Tab 8 - Segment Analysis-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D84:D89" displayName="Table_2" id="2">
  <tableColumns count="1">
    <tableColumn name="Column1" id="1"/>
  </tableColumns>
  <tableStyleInfo name="Tab 8 - Segment Analysis-style 2"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headerRowCount="0" ref="I84:I89" displayName="Table_3" id="3">
  <tableColumns count="1">
    <tableColumn name="Column1" id="1"/>
  </tableColumns>
  <tableStyleInfo name="Tab 8 - Segment Analysis-style 3"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headerRowCount="0" ref="H84:H89" displayName="Table_4" id="4">
  <tableColumns count="1">
    <tableColumn name="Column1" id="1"/>
  </tableColumns>
  <tableStyleInfo name="Tab 8 - Segment Analysis-style 4" showColumnStripes="0" showFirstColumn="1" showLastColumn="1" showRowStripes="1"/>
  <extLst>
    <ext uri="GoogleSheetsCustomDataVersion1">
      <go:sheetsCustomData xmlns:go="http://customooxmlschemas.google.com/" headerRowCount="1"/>
    </ext>
  </extLst>
</table>
</file>

<file path=xl/tables/table5.xml><?xml version="1.0" encoding="utf-8"?>
<table xmlns="http://schemas.openxmlformats.org/spreadsheetml/2006/main" headerRowCount="0" ref="F84:F89" displayName="Table_5" id="5">
  <tableColumns count="1">
    <tableColumn name="Column1" id="1"/>
  </tableColumns>
  <tableStyleInfo name="Tab 8 - Segment Analysis-style 5" showColumnStripes="0" showFirstColumn="1" showLastColumn="1" showRowStripes="1"/>
  <extLst>
    <ext uri="GoogleSheetsCustomDataVersion1">
      <go:sheetsCustomData xmlns:go="http://customooxmlschemas.google.com/" headerRowCount="1"/>
    </ext>
  </extLst>
</table>
</file>

<file path=xl/tables/table6.xml><?xml version="1.0" encoding="utf-8"?>
<table xmlns="http://schemas.openxmlformats.org/spreadsheetml/2006/main" headerRowCount="0" ref="H63:H70" displayName="Table_6" id="6">
  <tableColumns count="1">
    <tableColumn name="Column1" id="1"/>
  </tableColumns>
  <tableStyleInfo name="Tab 8 - Segment Analysis-style 6" showColumnStripes="0" showFirstColumn="1" showLastColumn="1" showRowStripes="1"/>
  <extLst>
    <ext uri="GoogleSheetsCustomDataVersion1">
      <go:sheetsCustomData xmlns:go="http://customooxmlschemas.google.com/" headerRowCount="1"/>
    </ext>
  </extLst>
</table>
</file>

<file path=xl/tables/table7.xml><?xml version="1.0" encoding="utf-8"?>
<table xmlns="http://schemas.openxmlformats.org/spreadsheetml/2006/main" headerRowCount="0" ref="I41:I49" displayName="Table_7" id="7">
  <tableColumns count="1">
    <tableColumn name="Column1" id="1"/>
  </tableColumns>
  <tableStyleInfo name="Tab 8 - Segment Analysis-style 7" showColumnStripes="0" showFirstColumn="1" showLastColumn="1" showRowStripes="1"/>
  <extLst>
    <ext uri="GoogleSheetsCustomDataVersion1">
      <go:sheetsCustomData xmlns:go="http://customooxmlschemas.google.com/" headerRowCount="1"/>
    </ext>
  </extLst>
</table>
</file>

<file path=xl/tables/table8.xml><?xml version="1.0" encoding="utf-8"?>
<table xmlns="http://schemas.openxmlformats.org/spreadsheetml/2006/main" headerRowCount="0" ref="F41:F49" displayName="Table_8" id="8">
  <tableColumns count="1">
    <tableColumn name="Column1" id="1"/>
  </tableColumns>
  <tableStyleInfo name="Tab 8 - Segment Analysis-style 8" showColumnStripes="0" showFirstColumn="1" showLastColumn="1" showRowStripes="1"/>
  <extLst>
    <ext uri="GoogleSheetsCustomDataVersion1">
      <go:sheetsCustomData xmlns:go="http://customooxmlschemas.google.com/" headerRowCount="1"/>
    </ext>
  </extLst>
</table>
</file>

<file path=xl/tables/table9.xml><?xml version="1.0" encoding="utf-8"?>
<table xmlns="http://schemas.openxmlformats.org/spreadsheetml/2006/main" headerRowCount="0" ref="F63:F70" displayName="Table_9" id="9">
  <tableColumns count="1">
    <tableColumn name="Column1" id="1"/>
  </tableColumns>
  <tableStyleInfo name="Tab 8 - Segment Analysis-style 9" showColumnStripes="0" showFirstColumn="1" showLastColumn="1" showRowStripes="1"/>
  <extLst>
    <ext uri="GoogleSheetsCustomDataVersion1">
      <go:sheetsCustomData xmlns:go="http://customooxmlschemas.google.com/" headerRowCount="1"/>
    </ext>
  </extLst>
</table>
</file>

<file path=xl/tables/table10.xml><?xml version="1.0" encoding="utf-8"?>
<table xmlns="http://schemas.openxmlformats.org/spreadsheetml/2006/main" headerRowCount="0" ref="H41:H49" displayName="Table_10" id="10">
  <tableColumns count="1">
    <tableColumn name="Column1" id="1"/>
  </tableColumns>
  <tableStyleInfo name="Tab 8 - Segment Analysis-style 10" showColumnStripes="0" showFirstColumn="1" showLastColumn="1" showRowStripes="1"/>
  <extLst>
    <ext uri="GoogleSheetsCustomDataVersion1">
      <go:sheetsCustomData xmlns:go="http://customooxmlschemas.google.com/" headerRowCount="1"/>
    </ext>
  </extLst>
</table>
</file>

<file path=xl/tables/table11.xml><?xml version="1.0" encoding="utf-8"?>
<table xmlns="http://schemas.openxmlformats.org/spreadsheetml/2006/main" headerRowCount="0" ref="D41:D49" displayName="Table_11" id="11">
  <tableColumns count="1">
    <tableColumn name="Column1" id="1"/>
  </tableColumns>
  <tableStyleInfo name="Tab 8 - Segment Analysis-style 11" showColumnStripes="0" showFirstColumn="1" showLastColumn="1" showRowStripes="1"/>
  <extLst>
    <ext uri="GoogleSheetsCustomDataVersion1">
      <go:sheetsCustomData xmlns:go="http://customooxmlschemas.google.com/" headerRowCount="1"/>
    </ext>
  </extLst>
</table>
</file>

<file path=xl/tables/table12.xml><?xml version="1.0" encoding="utf-8"?>
<table xmlns="http://schemas.openxmlformats.org/spreadsheetml/2006/main" headerRowCount="0" ref="I63:I70" displayName="Table_12" id="12">
  <tableColumns count="1">
    <tableColumn name="Column1" id="1"/>
  </tableColumns>
  <tableStyleInfo name="Tab 8 - Segment Analysis-style 12"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0" Type="http://schemas.openxmlformats.org/officeDocument/2006/relationships/table" Target="../tables/table7.xml"/><Relationship Id="rId22" Type="http://schemas.openxmlformats.org/officeDocument/2006/relationships/table" Target="../tables/table9.xml"/><Relationship Id="rId21" Type="http://schemas.openxmlformats.org/officeDocument/2006/relationships/table" Target="../tables/table8.xml"/><Relationship Id="rId24" Type="http://schemas.openxmlformats.org/officeDocument/2006/relationships/table" Target="../tables/table11.xml"/><Relationship Id="rId23" Type="http://schemas.openxmlformats.org/officeDocument/2006/relationships/table" Target="../tables/table10.xml"/><Relationship Id="rId1" Type="http://schemas.openxmlformats.org/officeDocument/2006/relationships/drawing" Target="../drawings/drawing9.xml"/><Relationship Id="rId15" Type="http://schemas.openxmlformats.org/officeDocument/2006/relationships/table" Target="../tables/table2.xml"/><Relationship Id="rId14" Type="http://schemas.openxmlformats.org/officeDocument/2006/relationships/table" Target="../tables/table1.xml"/><Relationship Id="rId25" Type="http://schemas.openxmlformats.org/officeDocument/2006/relationships/table" Target="../tables/table12.xml"/><Relationship Id="rId17" Type="http://schemas.openxmlformats.org/officeDocument/2006/relationships/table" Target="../tables/table4.xml"/><Relationship Id="rId16" Type="http://schemas.openxmlformats.org/officeDocument/2006/relationships/table" Target="../tables/table3.xml"/><Relationship Id="rId19" Type="http://schemas.openxmlformats.org/officeDocument/2006/relationships/table" Target="../tables/table6.xml"/><Relationship Id="rId18"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 width="10.88"/>
    <col customWidth="1" min="3" max="3" width="42.88"/>
  </cols>
  <sheetData>
    <row r="1">
      <c r="A1" s="1" t="s">
        <v>0</v>
      </c>
      <c r="B1" s="2"/>
      <c r="C1" s="3"/>
    </row>
    <row r="2">
      <c r="A2" s="4" t="s">
        <v>1</v>
      </c>
      <c r="B2" s="5"/>
      <c r="C2" s="6"/>
    </row>
    <row r="3" ht="30.75" customHeight="1">
      <c r="A3" s="7"/>
      <c r="B3" s="8"/>
      <c r="C3" s="9"/>
    </row>
    <row r="4" ht="30.75" customHeight="1">
      <c r="A4" s="10" t="str">
        <f>HYPERLINK("https://app.productboard.com/register","Step 1: Complete Tabs 1 - 2 in order by signing up for the free trial of productboard: https://app.productboard.com/register. 
")</f>
        <v>Step 1: Complete Tabs 1 - 2 in order by signing up for the free trial of productboard: https://app.productboard.com/register. 
</v>
      </c>
      <c r="B4" s="2"/>
      <c r="C4" s="3"/>
    </row>
    <row r="5" ht="54.75" customHeight="1">
      <c r="A5" s="11" t="s">
        <v>2</v>
      </c>
      <c r="B5" s="8"/>
      <c r="C5" s="9"/>
    </row>
    <row r="6" ht="99.75" customHeight="1">
      <c r="A6" s="11" t="s">
        <v>3</v>
      </c>
      <c r="B6" s="8"/>
      <c r="C6" s="9"/>
    </row>
    <row r="7" ht="45.75" customHeight="1">
      <c r="A7" s="11" t="s">
        <v>4</v>
      </c>
      <c r="B7" s="8"/>
      <c r="C7" s="9"/>
    </row>
    <row r="8" ht="56.25" customHeight="1">
      <c r="A8" s="11" t="s">
        <v>5</v>
      </c>
      <c r="B8" s="8"/>
      <c r="C8" s="9"/>
    </row>
    <row r="9">
      <c r="A9" s="12" t="s">
        <v>6</v>
      </c>
      <c r="B9" s="2"/>
      <c r="C9" s="3"/>
    </row>
    <row r="10">
      <c r="A10" s="13" t="s">
        <v>7</v>
      </c>
      <c r="B10" s="2"/>
      <c r="C10" s="3"/>
    </row>
    <row r="11">
      <c r="A11" s="14"/>
      <c r="B11" s="15"/>
      <c r="C11" s="16"/>
    </row>
    <row r="12">
      <c r="A12" s="17" t="s">
        <v>8</v>
      </c>
      <c r="B12" s="18" t="s">
        <v>9</v>
      </c>
      <c r="C12" s="17" t="s">
        <v>10</v>
      </c>
    </row>
    <row r="13">
      <c r="A13" s="19"/>
      <c r="B13" s="20"/>
      <c r="C13" s="21" t="s">
        <v>11</v>
      </c>
    </row>
    <row r="14">
      <c r="A14" s="22">
        <v>1.0</v>
      </c>
      <c r="B14" s="23" t="b">
        <v>0</v>
      </c>
      <c r="C14" s="24" t="s">
        <v>12</v>
      </c>
    </row>
    <row r="15">
      <c r="A15" s="25">
        <v>2.0</v>
      </c>
      <c r="B15" s="23" t="b">
        <v>0</v>
      </c>
      <c r="C15" s="26" t="s">
        <v>13</v>
      </c>
    </row>
    <row r="16">
      <c r="A16" s="19"/>
      <c r="B16" s="19"/>
      <c r="C16" s="21" t="s">
        <v>14</v>
      </c>
    </row>
    <row r="17">
      <c r="A17" s="27">
        <v>3.0</v>
      </c>
      <c r="B17" s="23" t="b">
        <v>0</v>
      </c>
      <c r="C17" s="26" t="s">
        <v>15</v>
      </c>
    </row>
    <row r="18">
      <c r="A18" s="28"/>
      <c r="B18" s="19"/>
      <c r="C18" s="21" t="s">
        <v>16</v>
      </c>
    </row>
    <row r="19">
      <c r="A19" s="27">
        <v>4.0</v>
      </c>
      <c r="B19" s="23" t="b">
        <v>0</v>
      </c>
      <c r="C19" s="26" t="s">
        <v>17</v>
      </c>
    </row>
    <row r="20">
      <c r="A20" s="27">
        <v>5.0</v>
      </c>
      <c r="B20" s="29" t="b">
        <v>0</v>
      </c>
      <c r="C20" s="26" t="s">
        <v>18</v>
      </c>
    </row>
    <row r="21">
      <c r="A21" s="27">
        <v>6.0</v>
      </c>
      <c r="B21" s="29" t="b">
        <v>0</v>
      </c>
      <c r="C21" s="26" t="s">
        <v>19</v>
      </c>
    </row>
    <row r="22">
      <c r="A22" s="27">
        <v>7.0</v>
      </c>
      <c r="B22" s="29" t="b">
        <v>0</v>
      </c>
      <c r="C22" s="26" t="s">
        <v>20</v>
      </c>
    </row>
    <row r="23">
      <c r="A23" s="28"/>
      <c r="B23" s="19"/>
      <c r="C23" s="21" t="s">
        <v>21</v>
      </c>
    </row>
    <row r="24">
      <c r="A24" s="27">
        <v>8.0</v>
      </c>
      <c r="B24" s="23" t="b">
        <v>0</v>
      </c>
      <c r="C24" s="30" t="s">
        <v>22</v>
      </c>
    </row>
  </sheetData>
  <mergeCells count="9">
    <mergeCell ref="A9:C9"/>
    <mergeCell ref="A10:C10"/>
    <mergeCell ref="A1:C1"/>
    <mergeCell ref="A2:C3"/>
    <mergeCell ref="A4:C4"/>
    <mergeCell ref="A5:C5"/>
    <mergeCell ref="A6:C6"/>
    <mergeCell ref="A7:C7"/>
    <mergeCell ref="A8:C8"/>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19.38"/>
    <col customWidth="1" min="12" max="12" width="25.38"/>
    <col customWidth="1" min="13" max="13" width="25.13"/>
    <col customWidth="1" min="14" max="14" width="30.38"/>
    <col customWidth="1" min="15" max="15" width="25.5"/>
    <col customWidth="1" min="16" max="16" width="25.25"/>
    <col customWidth="1" min="17" max="17" width="25.0"/>
    <col customWidth="1" min="18" max="18" width="25.38"/>
    <col customWidth="1" min="19" max="19" width="25.63"/>
    <col customWidth="1" min="20" max="20" width="36.0"/>
    <col customWidth="1" min="21" max="21" width="28.13"/>
    <col customWidth="1" min="22" max="22" width="33.63"/>
    <col customWidth="1" min="23" max="23" width="47.13"/>
  </cols>
  <sheetData>
    <row r="1">
      <c r="A1" s="31" t="s">
        <v>12</v>
      </c>
      <c r="B1" s="5"/>
      <c r="C1" s="5"/>
      <c r="D1" s="5"/>
      <c r="E1" s="5"/>
      <c r="F1" s="5"/>
      <c r="G1" s="5"/>
      <c r="H1" s="5"/>
      <c r="I1" s="5"/>
      <c r="J1" s="5"/>
      <c r="K1" s="5"/>
      <c r="L1" s="5"/>
      <c r="M1" s="5"/>
      <c r="N1" s="5"/>
      <c r="O1" s="5"/>
      <c r="P1" s="5"/>
      <c r="Q1" s="5"/>
      <c r="R1" s="5"/>
      <c r="S1" s="5"/>
      <c r="T1" s="5"/>
      <c r="U1" s="5"/>
      <c r="V1" s="5"/>
      <c r="W1" s="6"/>
    </row>
    <row r="2">
      <c r="A2" s="7"/>
      <c r="B2" s="8"/>
      <c r="C2" s="8"/>
      <c r="D2" s="8"/>
      <c r="E2" s="8"/>
      <c r="F2" s="8"/>
      <c r="G2" s="8"/>
      <c r="H2" s="8"/>
      <c r="I2" s="8"/>
      <c r="J2" s="8"/>
      <c r="K2" s="8"/>
      <c r="L2" s="8"/>
      <c r="M2" s="8"/>
      <c r="N2" s="8"/>
      <c r="O2" s="8"/>
      <c r="P2" s="8"/>
      <c r="Q2" s="8"/>
      <c r="R2" s="8"/>
      <c r="S2" s="8"/>
      <c r="T2" s="8"/>
      <c r="U2" s="8"/>
      <c r="V2" s="8"/>
      <c r="W2" s="9"/>
    </row>
    <row r="3">
      <c r="A3" s="32" t="s">
        <v>23</v>
      </c>
      <c r="B3" s="5"/>
      <c r="C3" s="5"/>
      <c r="D3" s="5"/>
      <c r="E3" s="5"/>
      <c r="F3" s="6"/>
      <c r="G3" s="33"/>
      <c r="H3" s="33"/>
      <c r="I3" s="33"/>
      <c r="J3" s="34"/>
      <c r="K3" s="34"/>
      <c r="L3" s="34"/>
      <c r="S3" s="34"/>
      <c r="T3" s="34"/>
      <c r="U3" s="35"/>
      <c r="V3" s="35"/>
      <c r="W3" s="35"/>
    </row>
    <row r="4" ht="14.25" customHeight="1">
      <c r="A4" s="7"/>
      <c r="B4" s="8"/>
      <c r="C4" s="8"/>
      <c r="D4" s="8"/>
      <c r="E4" s="8"/>
      <c r="F4" s="9"/>
      <c r="G4" s="33"/>
      <c r="H4" s="33"/>
      <c r="I4" s="33"/>
      <c r="J4" s="33"/>
      <c r="K4" s="33"/>
      <c r="L4" s="33"/>
      <c r="S4" s="34"/>
      <c r="T4" s="34"/>
      <c r="U4" s="35"/>
      <c r="V4" s="35"/>
      <c r="W4" s="35"/>
    </row>
    <row r="5" ht="21.75" customHeight="1">
      <c r="A5" s="11" t="s">
        <v>24</v>
      </c>
      <c r="B5" s="8"/>
      <c r="C5" s="8"/>
      <c r="D5" s="8"/>
      <c r="E5" s="8"/>
      <c r="F5" s="9"/>
      <c r="G5" s="33"/>
      <c r="H5" s="33"/>
      <c r="I5" s="33"/>
      <c r="J5" s="33"/>
      <c r="K5" s="33"/>
      <c r="L5" s="33"/>
      <c r="S5" s="34"/>
      <c r="T5" s="34"/>
      <c r="U5" s="35"/>
      <c r="V5" s="35"/>
      <c r="W5" s="35"/>
    </row>
    <row r="6" ht="21.0" customHeight="1">
      <c r="A6" s="11" t="s">
        <v>25</v>
      </c>
      <c r="B6" s="8"/>
      <c r="C6" s="8"/>
      <c r="D6" s="8"/>
      <c r="E6" s="8"/>
      <c r="F6" s="9"/>
      <c r="G6" s="33"/>
      <c r="H6" s="33"/>
      <c r="I6" s="33"/>
      <c r="J6" s="33"/>
      <c r="K6" s="33"/>
      <c r="L6" s="33"/>
      <c r="S6" s="34"/>
      <c r="T6" s="34"/>
      <c r="U6" s="35"/>
      <c r="V6" s="35"/>
      <c r="W6" s="35"/>
    </row>
    <row r="7" ht="30.0" customHeight="1">
      <c r="A7" s="11" t="s">
        <v>26</v>
      </c>
      <c r="B7" s="8"/>
      <c r="C7" s="8"/>
      <c r="D7" s="8"/>
      <c r="E7" s="8"/>
      <c r="F7" s="9"/>
      <c r="G7" s="33"/>
      <c r="H7" s="33"/>
      <c r="I7" s="33"/>
      <c r="J7" s="33"/>
      <c r="K7" s="33"/>
      <c r="L7" s="33"/>
      <c r="S7" s="34"/>
      <c r="T7" s="34"/>
      <c r="U7" s="35"/>
      <c r="V7" s="35"/>
      <c r="W7" s="35"/>
    </row>
    <row r="8" ht="31.5" customHeight="1">
      <c r="A8" s="11" t="s">
        <v>27</v>
      </c>
      <c r="B8" s="8"/>
      <c r="C8" s="8"/>
      <c r="D8" s="8"/>
      <c r="E8" s="8"/>
      <c r="F8" s="9"/>
      <c r="G8" s="33"/>
      <c r="H8" s="33"/>
      <c r="I8" s="33"/>
      <c r="J8" s="33"/>
      <c r="K8" s="33"/>
      <c r="L8" s="33"/>
      <c r="S8" s="34"/>
      <c r="T8" s="34"/>
      <c r="U8" s="35"/>
      <c r="V8" s="35"/>
      <c r="W8" s="35"/>
    </row>
    <row r="9" ht="68.25" customHeight="1">
      <c r="A9" s="36" t="s">
        <v>28</v>
      </c>
      <c r="B9" s="2"/>
      <c r="C9" s="2"/>
      <c r="D9" s="2"/>
      <c r="E9" s="2"/>
      <c r="F9" s="3"/>
      <c r="G9" s="33"/>
      <c r="H9" s="33"/>
      <c r="I9" s="33"/>
      <c r="J9" s="33"/>
      <c r="K9" s="33"/>
      <c r="L9" s="33"/>
      <c r="S9" s="34"/>
      <c r="T9" s="34"/>
      <c r="U9" s="35"/>
      <c r="V9" s="35"/>
      <c r="W9" s="35"/>
    </row>
    <row r="10" ht="93.75" customHeight="1">
      <c r="A10" s="32" t="s">
        <v>29</v>
      </c>
      <c r="B10" s="5"/>
      <c r="C10" s="5"/>
      <c r="D10" s="5"/>
      <c r="E10" s="5"/>
      <c r="F10" s="6"/>
      <c r="G10" s="33"/>
      <c r="H10" s="33"/>
      <c r="I10" s="33"/>
      <c r="J10" s="33"/>
      <c r="K10" s="33"/>
      <c r="L10" s="33"/>
      <c r="S10" s="35"/>
      <c r="T10" s="35"/>
      <c r="U10" s="35"/>
      <c r="V10" s="35"/>
      <c r="W10" s="35"/>
    </row>
    <row r="11" ht="17.25" customHeight="1">
      <c r="A11" s="37" t="s">
        <v>30</v>
      </c>
      <c r="F11" s="38"/>
      <c r="G11" s="33"/>
      <c r="H11" s="33"/>
      <c r="I11" s="33"/>
      <c r="J11" s="33"/>
      <c r="K11" s="33"/>
      <c r="L11" s="33"/>
      <c r="S11" s="35"/>
      <c r="T11" s="35"/>
      <c r="U11" s="35"/>
      <c r="V11" s="35"/>
      <c r="W11" s="35"/>
    </row>
    <row r="12" ht="20.25" customHeight="1">
      <c r="A12" s="37" t="s">
        <v>31</v>
      </c>
      <c r="F12" s="38"/>
      <c r="G12" s="33"/>
      <c r="H12" s="33"/>
      <c r="I12" s="33"/>
      <c r="J12" s="33"/>
      <c r="K12" s="33"/>
      <c r="L12" s="33"/>
      <c r="S12" s="35"/>
      <c r="T12" s="35"/>
      <c r="U12" s="35"/>
      <c r="V12" s="35"/>
      <c r="W12" s="35"/>
    </row>
    <row r="13" ht="29.25" customHeight="1">
      <c r="A13" s="39" t="s">
        <v>32</v>
      </c>
      <c r="F13" s="38"/>
      <c r="G13" s="33"/>
      <c r="H13" s="33"/>
      <c r="I13" s="33"/>
      <c r="J13" s="33"/>
      <c r="K13" s="33"/>
      <c r="L13" s="33"/>
      <c r="S13" s="35"/>
      <c r="T13" s="35"/>
      <c r="U13" s="35"/>
      <c r="V13" s="35"/>
      <c r="W13" s="35"/>
    </row>
    <row r="14" ht="26.25" customHeight="1">
      <c r="A14" s="40" t="s">
        <v>33</v>
      </c>
      <c r="F14" s="38"/>
      <c r="G14" s="33"/>
      <c r="H14" s="33"/>
      <c r="I14" s="33"/>
      <c r="J14" s="33"/>
      <c r="K14" s="33"/>
      <c r="L14" s="33"/>
      <c r="S14" s="35"/>
      <c r="T14" s="35"/>
      <c r="U14" s="35"/>
      <c r="V14" s="35"/>
      <c r="W14" s="35"/>
    </row>
    <row r="15" ht="24.75" customHeight="1">
      <c r="A15" s="37" t="s">
        <v>34</v>
      </c>
      <c r="F15" s="38"/>
      <c r="G15" s="33"/>
      <c r="H15" s="33"/>
      <c r="I15" s="33"/>
      <c r="J15" s="33"/>
      <c r="K15" s="33"/>
      <c r="L15" s="33"/>
      <c r="S15" s="35"/>
      <c r="T15" s="35"/>
      <c r="U15" s="35"/>
      <c r="V15" s="35"/>
      <c r="W15" s="35"/>
    </row>
    <row r="16" ht="24.75" customHeight="1">
      <c r="A16" s="37" t="s">
        <v>35</v>
      </c>
      <c r="F16" s="38"/>
      <c r="G16" s="33"/>
      <c r="H16" s="33"/>
      <c r="I16" s="33"/>
      <c r="J16" s="33"/>
      <c r="K16" s="33"/>
      <c r="L16" s="33"/>
      <c r="S16" s="35"/>
      <c r="T16" s="35"/>
      <c r="U16" s="35"/>
      <c r="V16" s="35"/>
      <c r="W16" s="35"/>
    </row>
    <row r="17" ht="24.75" customHeight="1">
      <c r="A17" s="41" t="s">
        <v>36</v>
      </c>
      <c r="B17" s="8"/>
      <c r="C17" s="8"/>
      <c r="D17" s="8"/>
      <c r="E17" s="8"/>
      <c r="F17" s="9"/>
      <c r="G17" s="33"/>
      <c r="H17" s="33"/>
      <c r="I17" s="33"/>
      <c r="J17" s="33"/>
      <c r="K17" s="33"/>
      <c r="L17" s="33"/>
      <c r="S17" s="35"/>
      <c r="T17" s="35"/>
      <c r="U17" s="35"/>
      <c r="V17" s="35"/>
      <c r="W17" s="35"/>
    </row>
    <row r="18" ht="18.75" customHeight="1">
      <c r="A18" s="42" t="s">
        <v>37</v>
      </c>
      <c r="B18" s="43"/>
      <c r="C18" s="43"/>
      <c r="D18" s="43"/>
      <c r="E18" s="43"/>
      <c r="F18" s="44"/>
      <c r="G18" s="33"/>
      <c r="H18" s="33"/>
      <c r="I18" s="33"/>
      <c r="J18" s="33"/>
      <c r="K18" s="33"/>
      <c r="L18" s="33"/>
      <c r="S18" s="35"/>
      <c r="T18" s="35"/>
      <c r="U18" s="35"/>
      <c r="V18" s="35"/>
      <c r="W18" s="35"/>
    </row>
    <row r="19">
      <c r="A19" s="45" t="s">
        <v>38</v>
      </c>
      <c r="B19" s="45" t="s">
        <v>39</v>
      </c>
      <c r="C19" s="45" t="s">
        <v>40</v>
      </c>
      <c r="D19" s="45" t="s">
        <v>41</v>
      </c>
      <c r="E19" s="45" t="s">
        <v>42</v>
      </c>
      <c r="F19" s="45" t="s">
        <v>43</v>
      </c>
      <c r="G19" s="46" t="s">
        <v>44</v>
      </c>
      <c r="H19" s="46" t="s">
        <v>45</v>
      </c>
      <c r="I19" s="46" t="s">
        <v>46</v>
      </c>
      <c r="J19" s="46" t="s">
        <v>47</v>
      </c>
      <c r="K19" s="46" t="s">
        <v>48</v>
      </c>
      <c r="L19" s="46" t="s">
        <v>49</v>
      </c>
      <c r="M19" s="46" t="s">
        <v>50</v>
      </c>
      <c r="N19" s="46" t="s">
        <v>51</v>
      </c>
      <c r="O19" s="46" t="s">
        <v>52</v>
      </c>
      <c r="P19" s="46" t="s">
        <v>53</v>
      </c>
      <c r="Q19" s="46" t="s">
        <v>54</v>
      </c>
      <c r="R19" s="46" t="s">
        <v>55</v>
      </c>
      <c r="S19" s="46" t="s">
        <v>56</v>
      </c>
      <c r="T19" s="46" t="s">
        <v>57</v>
      </c>
      <c r="U19" s="46" t="s">
        <v>58</v>
      </c>
      <c r="V19" s="46" t="s">
        <v>59</v>
      </c>
      <c r="W19" s="46" t="s">
        <v>60</v>
      </c>
    </row>
    <row r="20">
      <c r="A20" s="47" t="s">
        <v>61</v>
      </c>
      <c r="B20" s="47" t="s">
        <v>62</v>
      </c>
      <c r="C20" s="47" t="s">
        <v>63</v>
      </c>
      <c r="D20" s="47" t="s">
        <v>64</v>
      </c>
      <c r="E20" s="47" t="s">
        <v>65</v>
      </c>
      <c r="F20" s="47" t="s">
        <v>66</v>
      </c>
      <c r="G20" s="48" t="s">
        <v>67</v>
      </c>
      <c r="H20" s="48" t="s">
        <v>68</v>
      </c>
      <c r="I20" s="49" t="s">
        <v>69</v>
      </c>
      <c r="J20" s="2"/>
      <c r="K20" s="2"/>
      <c r="L20" s="3"/>
      <c r="M20" s="47" t="s">
        <v>70</v>
      </c>
      <c r="N20" s="47" t="s">
        <v>71</v>
      </c>
      <c r="O20" s="47" t="s">
        <v>72</v>
      </c>
      <c r="P20" s="47" t="s">
        <v>73</v>
      </c>
      <c r="Q20" s="47" t="s">
        <v>74</v>
      </c>
      <c r="R20" s="47" t="s">
        <v>75</v>
      </c>
      <c r="S20" s="47" t="s">
        <v>76</v>
      </c>
      <c r="T20" s="47" t="s">
        <v>77</v>
      </c>
      <c r="U20" s="47" t="s">
        <v>78</v>
      </c>
      <c r="V20" s="47" t="s">
        <v>79</v>
      </c>
      <c r="W20" s="47" t="s">
        <v>80</v>
      </c>
    </row>
    <row r="21">
      <c r="A21" s="50">
        <v>1.0</v>
      </c>
      <c r="B21" s="51" t="s">
        <v>81</v>
      </c>
      <c r="C21" s="50">
        <f>3820*2</f>
        <v>7640</v>
      </c>
      <c r="D21" s="52">
        <v>0.1102</v>
      </c>
      <c r="E21" s="52">
        <v>0.8898</v>
      </c>
      <c r="F21" s="53" t="s">
        <v>82</v>
      </c>
      <c r="G21" s="54">
        <v>1.0</v>
      </c>
      <c r="H21" s="54">
        <v>0.0</v>
      </c>
      <c r="I21" s="55" t="s">
        <v>83</v>
      </c>
      <c r="J21" s="2"/>
      <c r="K21" s="2"/>
      <c r="L21" s="3"/>
      <c r="M21" s="56" t="s">
        <v>84</v>
      </c>
      <c r="N21" s="57" t="s">
        <v>85</v>
      </c>
      <c r="O21" s="57" t="s">
        <v>86</v>
      </c>
      <c r="P21" s="57" t="s">
        <v>87</v>
      </c>
      <c r="Q21" s="57" t="s">
        <v>87</v>
      </c>
      <c r="R21" s="57" t="s">
        <v>87</v>
      </c>
      <c r="S21" s="58" t="s">
        <v>88</v>
      </c>
      <c r="T21" s="59" t="s">
        <v>89</v>
      </c>
      <c r="U21" s="60"/>
      <c r="V21" s="60"/>
      <c r="W21" s="61" t="s">
        <v>90</v>
      </c>
    </row>
    <row r="22">
      <c r="A22" s="62">
        <v>2.0</v>
      </c>
      <c r="B22" s="63" t="s">
        <v>91</v>
      </c>
      <c r="C22" s="62">
        <f>421*2</f>
        <v>842</v>
      </c>
      <c r="D22" s="64">
        <f t="shared" ref="D22:D29" si="1">C23/C22</f>
        <v>0.9358669834</v>
      </c>
      <c r="E22" s="64">
        <f t="shared" ref="E22:E29" si="2">1-D22</f>
        <v>0.06413301663</v>
      </c>
      <c r="F22" s="64">
        <f t="shared" ref="F22:F29" si="3">1-(C23/$C$22)</f>
        <v>0.06413301663</v>
      </c>
      <c r="G22" s="65">
        <v>3.0</v>
      </c>
      <c r="H22" s="65">
        <v>1.0</v>
      </c>
      <c r="I22" s="66" t="s">
        <v>92</v>
      </c>
      <c r="J22" s="2"/>
      <c r="K22" s="2"/>
      <c r="L22" s="3"/>
      <c r="M22" s="67" t="s">
        <v>93</v>
      </c>
      <c r="N22" s="68" t="s">
        <v>94</v>
      </c>
      <c r="O22" s="68" t="s">
        <v>95</v>
      </c>
      <c r="P22" s="68" t="s">
        <v>87</v>
      </c>
      <c r="Q22" s="68" t="s">
        <v>87</v>
      </c>
      <c r="R22" s="68" t="s">
        <v>87</v>
      </c>
      <c r="S22" s="69" t="s">
        <v>88</v>
      </c>
      <c r="T22" s="70" t="s">
        <v>89</v>
      </c>
      <c r="U22" s="71" t="s">
        <v>96</v>
      </c>
      <c r="V22" s="70" t="s">
        <v>97</v>
      </c>
      <c r="W22" s="72" t="s">
        <v>98</v>
      </c>
    </row>
    <row r="23">
      <c r="A23" s="62">
        <v>3.0</v>
      </c>
      <c r="B23" s="63" t="s">
        <v>99</v>
      </c>
      <c r="C23" s="62">
        <f>394*2</f>
        <v>788</v>
      </c>
      <c r="D23" s="64">
        <f t="shared" si="1"/>
        <v>0.9720812183</v>
      </c>
      <c r="E23" s="64">
        <f t="shared" si="2"/>
        <v>0.02791878173</v>
      </c>
      <c r="F23" s="64">
        <f t="shared" si="3"/>
        <v>0.09026128266</v>
      </c>
      <c r="G23" s="65">
        <v>0.0</v>
      </c>
      <c r="H23" s="65">
        <v>0.0</v>
      </c>
      <c r="I23" s="73" t="s">
        <v>100</v>
      </c>
      <c r="J23" s="2"/>
      <c r="K23" s="2"/>
      <c r="L23" s="3"/>
      <c r="M23" s="67" t="s">
        <v>101</v>
      </c>
      <c r="N23" s="68" t="s">
        <v>102</v>
      </c>
      <c r="O23" s="68" t="s">
        <v>103</v>
      </c>
      <c r="P23" s="68" t="s">
        <v>87</v>
      </c>
      <c r="Q23" s="68" t="s">
        <v>87</v>
      </c>
      <c r="R23" s="68" t="s">
        <v>87</v>
      </c>
      <c r="S23" s="69" t="s">
        <v>88</v>
      </c>
      <c r="T23" s="70" t="s">
        <v>89</v>
      </c>
      <c r="U23" s="70" t="s">
        <v>96</v>
      </c>
      <c r="V23" s="71"/>
      <c r="W23" s="72" t="s">
        <v>104</v>
      </c>
    </row>
    <row r="24">
      <c r="A24" s="62">
        <v>4.0</v>
      </c>
      <c r="B24" s="63" t="s">
        <v>105</v>
      </c>
      <c r="C24" s="62">
        <f>383*2</f>
        <v>766</v>
      </c>
      <c r="D24" s="64">
        <f t="shared" si="1"/>
        <v>0.9686684073</v>
      </c>
      <c r="E24" s="64">
        <f t="shared" si="2"/>
        <v>0.03133159269</v>
      </c>
      <c r="F24" s="64">
        <f t="shared" si="3"/>
        <v>0.1187648456</v>
      </c>
      <c r="G24" s="65">
        <v>1.0</v>
      </c>
      <c r="H24" s="65">
        <v>0.0</v>
      </c>
      <c r="I24" s="73" t="s">
        <v>106</v>
      </c>
      <c r="J24" s="2"/>
      <c r="K24" s="2"/>
      <c r="L24" s="3"/>
      <c r="M24" s="74" t="s">
        <v>107</v>
      </c>
      <c r="N24" s="75" t="s">
        <v>108</v>
      </c>
      <c r="O24" s="75" t="s">
        <v>103</v>
      </c>
      <c r="P24" s="75" t="s">
        <v>87</v>
      </c>
      <c r="Q24" s="75" t="s">
        <v>87</v>
      </c>
      <c r="R24" s="75" t="s">
        <v>87</v>
      </c>
      <c r="S24" s="69" t="s">
        <v>88</v>
      </c>
      <c r="T24" s="70" t="s">
        <v>89</v>
      </c>
      <c r="U24" s="70" t="s">
        <v>96</v>
      </c>
      <c r="V24" s="71" t="s">
        <v>97</v>
      </c>
      <c r="W24" s="72" t="s">
        <v>109</v>
      </c>
    </row>
    <row r="25">
      <c r="A25" s="62">
        <v>5.0</v>
      </c>
      <c r="B25" s="63" t="s">
        <v>110</v>
      </c>
      <c r="C25" s="62">
        <f>371*2</f>
        <v>742</v>
      </c>
      <c r="D25" s="64">
        <f t="shared" si="1"/>
        <v>0.9892183288</v>
      </c>
      <c r="E25" s="64">
        <f t="shared" si="2"/>
        <v>0.01078167116</v>
      </c>
      <c r="F25" s="64">
        <f t="shared" si="3"/>
        <v>0.1282660333</v>
      </c>
      <c r="G25" s="65">
        <v>5.0</v>
      </c>
      <c r="H25" s="65">
        <v>3.0</v>
      </c>
      <c r="I25" s="73" t="s">
        <v>111</v>
      </c>
      <c r="J25" s="2"/>
      <c r="K25" s="2"/>
      <c r="L25" s="3"/>
      <c r="M25" s="74" t="s">
        <v>112</v>
      </c>
      <c r="N25" s="75" t="s">
        <v>113</v>
      </c>
      <c r="O25" s="75" t="s">
        <v>114</v>
      </c>
      <c r="P25" s="75" t="s">
        <v>87</v>
      </c>
      <c r="Q25" s="75" t="s">
        <v>87</v>
      </c>
      <c r="R25" s="75" t="s">
        <v>87</v>
      </c>
      <c r="S25" s="69" t="s">
        <v>88</v>
      </c>
      <c r="T25" s="71" t="s">
        <v>89</v>
      </c>
      <c r="U25" s="71" t="s">
        <v>96</v>
      </c>
      <c r="V25" s="70" t="s">
        <v>97</v>
      </c>
      <c r="W25" s="72" t="s">
        <v>115</v>
      </c>
    </row>
    <row r="26">
      <c r="A26" s="62">
        <v>6.0</v>
      </c>
      <c r="B26" s="63" t="s">
        <v>116</v>
      </c>
      <c r="C26" s="62">
        <f>367*2</f>
        <v>734</v>
      </c>
      <c r="D26" s="64">
        <f t="shared" si="1"/>
        <v>0.863760218</v>
      </c>
      <c r="E26" s="64">
        <f t="shared" si="2"/>
        <v>0.136239782</v>
      </c>
      <c r="F26" s="64">
        <f t="shared" si="3"/>
        <v>0.2470308789</v>
      </c>
      <c r="G26" s="65">
        <v>3.0</v>
      </c>
      <c r="H26" s="65">
        <v>2.0</v>
      </c>
      <c r="I26" s="73" t="s">
        <v>111</v>
      </c>
      <c r="J26" s="2"/>
      <c r="K26" s="2"/>
      <c r="L26" s="3"/>
      <c r="M26" s="74" t="s">
        <v>112</v>
      </c>
      <c r="N26" s="75" t="s">
        <v>113</v>
      </c>
      <c r="O26" s="75" t="s">
        <v>114</v>
      </c>
      <c r="P26" s="75" t="s">
        <v>87</v>
      </c>
      <c r="Q26" s="75" t="s">
        <v>87</v>
      </c>
      <c r="R26" s="75" t="s">
        <v>87</v>
      </c>
      <c r="S26" s="69" t="s">
        <v>88</v>
      </c>
      <c r="T26" s="71" t="s">
        <v>89</v>
      </c>
      <c r="U26" s="71" t="s">
        <v>96</v>
      </c>
      <c r="V26" s="70" t="s">
        <v>97</v>
      </c>
      <c r="W26" s="72" t="s">
        <v>117</v>
      </c>
    </row>
    <row r="27">
      <c r="A27" s="62">
        <v>7.0</v>
      </c>
      <c r="B27" s="63" t="s">
        <v>118</v>
      </c>
      <c r="C27" s="62">
        <f>317*2</f>
        <v>634</v>
      </c>
      <c r="D27" s="64">
        <f t="shared" si="1"/>
        <v>0.9684542587</v>
      </c>
      <c r="E27" s="64">
        <f t="shared" si="2"/>
        <v>0.03154574132</v>
      </c>
      <c r="F27" s="64">
        <f t="shared" si="3"/>
        <v>0.270783848</v>
      </c>
      <c r="G27" s="65">
        <v>4.0</v>
      </c>
      <c r="H27" s="65">
        <v>3.0</v>
      </c>
      <c r="I27" s="73" t="s">
        <v>119</v>
      </c>
      <c r="J27" s="2"/>
      <c r="K27" s="2"/>
      <c r="L27" s="3"/>
      <c r="M27" s="74" t="s">
        <v>120</v>
      </c>
      <c r="N27" s="75" t="s">
        <v>121</v>
      </c>
      <c r="O27" s="75" t="s">
        <v>122</v>
      </c>
      <c r="P27" s="75" t="s">
        <v>87</v>
      </c>
      <c r="Q27" s="75" t="s">
        <v>87</v>
      </c>
      <c r="R27" s="75" t="s">
        <v>123</v>
      </c>
      <c r="S27" s="69" t="s">
        <v>124</v>
      </c>
      <c r="T27" s="76" t="s">
        <v>125</v>
      </c>
      <c r="U27" s="71" t="s">
        <v>96</v>
      </c>
      <c r="V27" s="70" t="s">
        <v>97</v>
      </c>
      <c r="W27" s="72" t="s">
        <v>126</v>
      </c>
    </row>
    <row r="28">
      <c r="A28" s="62">
        <v>8.0</v>
      </c>
      <c r="B28" s="63" t="s">
        <v>127</v>
      </c>
      <c r="C28" s="62">
        <f>307*2</f>
        <v>614</v>
      </c>
      <c r="D28" s="64">
        <f t="shared" si="1"/>
        <v>0.9218241042</v>
      </c>
      <c r="E28" s="64">
        <f t="shared" si="2"/>
        <v>0.07817589577</v>
      </c>
      <c r="F28" s="64">
        <f t="shared" si="3"/>
        <v>0.3277909739</v>
      </c>
      <c r="G28" s="65"/>
      <c r="H28" s="65"/>
      <c r="I28" s="77"/>
      <c r="J28" s="2"/>
      <c r="K28" s="2"/>
      <c r="L28" s="3"/>
      <c r="M28" s="78"/>
      <c r="N28" s="79"/>
      <c r="O28" s="79"/>
      <c r="P28" s="79"/>
      <c r="Q28" s="79"/>
      <c r="R28" s="79"/>
      <c r="S28" s="80"/>
      <c r="T28" s="81"/>
      <c r="U28" s="81"/>
      <c r="V28" s="81"/>
      <c r="W28" s="72"/>
    </row>
    <row r="29">
      <c r="A29" s="62">
        <v>9.0</v>
      </c>
      <c r="B29" s="63" t="s">
        <v>128</v>
      </c>
      <c r="C29" s="62">
        <f>283*2</f>
        <v>566</v>
      </c>
      <c r="D29" s="82">
        <f t="shared" si="1"/>
        <v>1</v>
      </c>
      <c r="E29" s="83">
        <f t="shared" si="2"/>
        <v>0</v>
      </c>
      <c r="F29" s="64">
        <f t="shared" si="3"/>
        <v>0.3277909739</v>
      </c>
      <c r="G29" s="65">
        <v>12.0</v>
      </c>
      <c r="H29" s="65">
        <v>0.0</v>
      </c>
      <c r="I29" s="73" t="s">
        <v>129</v>
      </c>
      <c r="J29" s="2"/>
      <c r="K29" s="2"/>
      <c r="L29" s="3"/>
      <c r="M29" s="74" t="s">
        <v>130</v>
      </c>
      <c r="N29" s="75" t="s">
        <v>131</v>
      </c>
      <c r="O29" s="75" t="s">
        <v>132</v>
      </c>
      <c r="P29" s="75" t="s">
        <v>87</v>
      </c>
      <c r="Q29" s="75" t="s">
        <v>87</v>
      </c>
      <c r="R29" s="75" t="s">
        <v>87</v>
      </c>
      <c r="S29" s="70" t="s">
        <v>88</v>
      </c>
      <c r="T29" s="70" t="s">
        <v>96</v>
      </c>
      <c r="U29" s="70" t="s">
        <v>96</v>
      </c>
      <c r="V29" s="70" t="s">
        <v>87</v>
      </c>
      <c r="W29" s="72" t="s">
        <v>133</v>
      </c>
    </row>
    <row r="30">
      <c r="A30" s="84">
        <v>10.0</v>
      </c>
      <c r="B30" s="85" t="s">
        <v>134</v>
      </c>
      <c r="C30" s="86">
        <f>C29</f>
        <v>566</v>
      </c>
      <c r="D30" s="35"/>
      <c r="E30" s="87"/>
      <c r="F30" s="88"/>
      <c r="G30" s="89"/>
      <c r="H30" s="89"/>
      <c r="I30" s="35"/>
      <c r="J30" s="35"/>
      <c r="K30" s="35"/>
      <c r="L30" s="35"/>
      <c r="M30" s="35"/>
      <c r="N30" s="35"/>
      <c r="O30" s="35"/>
      <c r="P30" s="35"/>
      <c r="Q30" s="35"/>
      <c r="R30" s="35"/>
      <c r="S30" s="35"/>
      <c r="T30" s="35"/>
      <c r="U30" s="35"/>
      <c r="V30" s="35"/>
      <c r="W30" s="35"/>
    </row>
    <row r="31">
      <c r="A31" s="35"/>
      <c r="B31" s="35"/>
      <c r="C31" s="35"/>
      <c r="D31" s="35"/>
      <c r="E31" s="90"/>
      <c r="F31" s="85" t="s">
        <v>135</v>
      </c>
      <c r="G31" s="85" t="s">
        <v>136</v>
      </c>
      <c r="H31" s="85" t="s">
        <v>136</v>
      </c>
      <c r="I31" s="35"/>
      <c r="J31" s="35"/>
      <c r="K31" s="35"/>
      <c r="L31" s="35"/>
      <c r="M31" s="35"/>
      <c r="N31" s="35"/>
      <c r="O31" s="35"/>
      <c r="P31" s="35"/>
      <c r="Q31" s="35"/>
      <c r="R31" s="35"/>
      <c r="S31" s="35"/>
      <c r="T31" s="35"/>
      <c r="U31" s="35"/>
      <c r="V31" s="35"/>
      <c r="W31" s="35"/>
    </row>
    <row r="32">
      <c r="A32" s="35"/>
      <c r="B32" s="35"/>
      <c r="C32" s="35"/>
      <c r="D32" s="35"/>
      <c r="E32" s="90"/>
      <c r="F32" s="91">
        <f>AVERAGE(F21:F29)</f>
        <v>0.1968527316</v>
      </c>
      <c r="G32" s="92">
        <f t="shared" ref="G32:H32" si="4">SUM(G21:G29)</f>
        <v>29</v>
      </c>
      <c r="H32" s="92">
        <f t="shared" si="4"/>
        <v>9</v>
      </c>
      <c r="I32" s="35"/>
      <c r="J32" s="35"/>
      <c r="K32" s="35"/>
      <c r="L32" s="35"/>
      <c r="M32" s="35"/>
      <c r="N32" s="35"/>
      <c r="O32" s="35"/>
      <c r="P32" s="35"/>
      <c r="Q32" s="35"/>
      <c r="R32" s="35"/>
      <c r="S32" s="35"/>
      <c r="T32" s="35"/>
      <c r="U32" s="35"/>
      <c r="V32" s="35"/>
      <c r="W32" s="35"/>
    </row>
    <row r="33">
      <c r="A33" s="35"/>
      <c r="B33" s="35"/>
      <c r="C33" s="35"/>
      <c r="D33" s="35"/>
      <c r="E33" s="35"/>
      <c r="F33" s="35"/>
      <c r="G33" s="35"/>
      <c r="H33" s="35"/>
      <c r="I33" s="35"/>
      <c r="J33" s="35"/>
      <c r="K33" s="35"/>
      <c r="L33" s="35"/>
      <c r="M33" s="35"/>
      <c r="N33" s="35"/>
      <c r="O33" s="35"/>
      <c r="P33" s="35"/>
      <c r="Q33" s="35"/>
      <c r="R33" s="35"/>
      <c r="S33" s="35"/>
      <c r="T33" s="35"/>
      <c r="U33" s="35"/>
      <c r="V33" s="35"/>
      <c r="W33" s="35"/>
    </row>
  </sheetData>
  <mergeCells count="25">
    <mergeCell ref="A1:W2"/>
    <mergeCell ref="A3:F4"/>
    <mergeCell ref="A5:F5"/>
    <mergeCell ref="A6:F6"/>
    <mergeCell ref="A7:F7"/>
    <mergeCell ref="A8:F8"/>
    <mergeCell ref="A9:F9"/>
    <mergeCell ref="A10:F10"/>
    <mergeCell ref="A11:F11"/>
    <mergeCell ref="A12:F12"/>
    <mergeCell ref="A13:F13"/>
    <mergeCell ref="A14:F14"/>
    <mergeCell ref="A15:F15"/>
    <mergeCell ref="A16:F16"/>
    <mergeCell ref="I26:L26"/>
    <mergeCell ref="I27:L27"/>
    <mergeCell ref="I28:L28"/>
    <mergeCell ref="I29:L29"/>
    <mergeCell ref="A17:F17"/>
    <mergeCell ref="I20:L20"/>
    <mergeCell ref="I21:L21"/>
    <mergeCell ref="I22:L22"/>
    <mergeCell ref="I23:L23"/>
    <mergeCell ref="I24:L24"/>
    <mergeCell ref="I25:L25"/>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51.75"/>
    <col customWidth="1" min="3" max="3" width="19.0"/>
    <col customWidth="1" min="4" max="4" width="39.0"/>
    <col customWidth="1" min="5" max="5" width="38.25"/>
    <col customWidth="1" min="6" max="6" width="39.0"/>
    <col customWidth="1" min="7" max="7" width="37.88"/>
    <col customWidth="1" min="8" max="8" width="38.38"/>
    <col customWidth="1" min="9" max="9" width="25.75"/>
    <col customWidth="1" min="10" max="10" width="20.13"/>
    <col customWidth="1" min="11" max="11" width="24.88"/>
    <col customWidth="1" min="12" max="12" width="25.0"/>
    <col customWidth="1" min="13" max="13" width="14.13"/>
  </cols>
  <sheetData>
    <row r="1">
      <c r="A1" s="31" t="s">
        <v>12</v>
      </c>
      <c r="B1" s="5"/>
      <c r="C1" s="5"/>
      <c r="D1" s="5"/>
      <c r="E1" s="5"/>
      <c r="F1" s="5"/>
      <c r="G1" s="5"/>
      <c r="H1" s="5"/>
      <c r="I1" s="5"/>
      <c r="J1" s="5"/>
      <c r="K1" s="5"/>
      <c r="L1" s="5"/>
      <c r="M1" s="5"/>
      <c r="N1" s="5"/>
      <c r="O1" s="5"/>
      <c r="P1" s="6"/>
    </row>
    <row r="2">
      <c r="A2" s="7"/>
      <c r="B2" s="8"/>
      <c r="C2" s="8"/>
      <c r="D2" s="8"/>
      <c r="E2" s="8"/>
      <c r="F2" s="8"/>
      <c r="G2" s="8"/>
      <c r="H2" s="8"/>
      <c r="I2" s="8"/>
      <c r="J2" s="8"/>
      <c r="K2" s="8"/>
      <c r="L2" s="8"/>
      <c r="M2" s="8"/>
      <c r="N2" s="8"/>
      <c r="O2" s="8"/>
      <c r="P2" s="9"/>
    </row>
    <row r="3">
      <c r="A3" s="32" t="s">
        <v>137</v>
      </c>
      <c r="B3" s="5"/>
      <c r="C3" s="5"/>
      <c r="D3" s="5"/>
      <c r="E3" s="5"/>
      <c r="F3" s="6"/>
      <c r="K3" s="34"/>
      <c r="L3" s="34"/>
      <c r="M3" s="35"/>
      <c r="N3" s="35"/>
      <c r="O3" s="35"/>
      <c r="P3" s="35"/>
    </row>
    <row r="4">
      <c r="A4" s="32" t="s">
        <v>138</v>
      </c>
      <c r="B4" s="5"/>
      <c r="C4" s="5"/>
      <c r="D4" s="5"/>
      <c r="E4" s="5"/>
      <c r="F4" s="6"/>
      <c r="K4" s="34"/>
      <c r="L4" s="34"/>
      <c r="M4" s="33"/>
      <c r="N4" s="35"/>
      <c r="O4" s="35"/>
      <c r="P4" s="35"/>
    </row>
    <row r="5">
      <c r="A5" s="93" t="s">
        <v>139</v>
      </c>
      <c r="B5" s="5"/>
      <c r="C5" s="5"/>
      <c r="D5" s="5"/>
      <c r="E5" s="5"/>
      <c r="F5" s="6"/>
      <c r="K5" s="35"/>
      <c r="L5" s="35"/>
      <c r="M5" s="35"/>
      <c r="N5" s="35"/>
      <c r="O5" s="35"/>
      <c r="P5" s="35"/>
    </row>
    <row r="6" ht="15.0" customHeight="1">
      <c r="A6" s="94" t="s">
        <v>140</v>
      </c>
      <c r="F6" s="38"/>
      <c r="K6" s="35"/>
      <c r="L6" s="35"/>
      <c r="M6" s="35"/>
      <c r="N6" s="35"/>
      <c r="O6" s="35"/>
      <c r="P6" s="35"/>
    </row>
    <row r="7" ht="15.0" customHeight="1">
      <c r="A7" s="94" t="s">
        <v>141</v>
      </c>
      <c r="F7" s="38"/>
      <c r="K7" s="35"/>
      <c r="L7" s="35"/>
      <c r="M7" s="35"/>
      <c r="N7" s="35"/>
      <c r="O7" s="35"/>
      <c r="P7" s="35"/>
    </row>
    <row r="8" ht="15.0" customHeight="1">
      <c r="A8" s="94" t="s">
        <v>142</v>
      </c>
      <c r="F8" s="38"/>
      <c r="K8" s="35"/>
      <c r="L8" s="35"/>
      <c r="M8" s="35"/>
      <c r="N8" s="35"/>
      <c r="O8" s="35"/>
      <c r="P8" s="35"/>
    </row>
    <row r="9" ht="15.0" customHeight="1">
      <c r="A9" s="94" t="s">
        <v>143</v>
      </c>
      <c r="F9" s="38"/>
      <c r="K9" s="35"/>
      <c r="L9" s="35"/>
      <c r="M9" s="35"/>
      <c r="N9" s="35"/>
      <c r="O9" s="35"/>
      <c r="P9" s="35"/>
    </row>
    <row r="10" ht="15.0" customHeight="1">
      <c r="A10" s="94" t="s">
        <v>144</v>
      </c>
      <c r="F10" s="38"/>
      <c r="K10" s="35"/>
      <c r="L10" s="35"/>
      <c r="M10" s="35"/>
      <c r="N10" s="35"/>
      <c r="O10" s="35"/>
      <c r="P10" s="35"/>
    </row>
    <row r="11" ht="15.0" customHeight="1">
      <c r="A11" s="94" t="s">
        <v>145</v>
      </c>
      <c r="F11" s="38"/>
      <c r="K11" s="35"/>
      <c r="L11" s="35"/>
      <c r="M11" s="35"/>
      <c r="N11" s="35"/>
      <c r="O11" s="35"/>
      <c r="P11" s="35"/>
    </row>
    <row r="12" ht="15.0" customHeight="1">
      <c r="A12" s="94" t="s">
        <v>146</v>
      </c>
      <c r="F12" s="38"/>
      <c r="K12" s="35"/>
      <c r="L12" s="35"/>
      <c r="M12" s="35"/>
      <c r="N12" s="35"/>
      <c r="O12" s="35"/>
      <c r="P12" s="35"/>
    </row>
    <row r="13" ht="15.0" customHeight="1">
      <c r="A13" s="94" t="s">
        <v>147</v>
      </c>
      <c r="F13" s="38"/>
      <c r="K13" s="35"/>
      <c r="L13" s="35"/>
      <c r="M13" s="35"/>
      <c r="N13" s="35"/>
      <c r="O13" s="35"/>
      <c r="P13" s="35"/>
    </row>
    <row r="14" ht="15.0" customHeight="1">
      <c r="A14" s="94" t="s">
        <v>148</v>
      </c>
      <c r="F14" s="38"/>
      <c r="K14" s="35"/>
      <c r="L14" s="35"/>
      <c r="M14" s="35"/>
      <c r="N14" s="35"/>
      <c r="O14" s="35"/>
      <c r="P14" s="35"/>
    </row>
    <row r="15" ht="15.0" customHeight="1">
      <c r="A15" s="95" t="s">
        <v>149</v>
      </c>
      <c r="B15" s="96"/>
      <c r="C15" s="96"/>
      <c r="D15" s="96"/>
      <c r="E15" s="96"/>
      <c r="F15" s="97"/>
      <c r="K15" s="35"/>
      <c r="L15" s="35"/>
      <c r="M15" s="35"/>
      <c r="N15" s="35"/>
      <c r="O15" s="35"/>
      <c r="P15" s="35"/>
    </row>
    <row r="16" ht="15.0" customHeight="1">
      <c r="A16" s="42" t="s">
        <v>37</v>
      </c>
      <c r="B16" s="43"/>
      <c r="C16" s="43"/>
      <c r="D16" s="43"/>
      <c r="E16" s="43"/>
      <c r="F16" s="44"/>
      <c r="K16" s="35"/>
      <c r="L16" s="35"/>
      <c r="M16" s="35"/>
      <c r="N16" s="35"/>
      <c r="O16" s="35"/>
      <c r="P16" s="35"/>
    </row>
    <row r="17" ht="15.0" customHeight="1">
      <c r="A17" s="26" t="s">
        <v>38</v>
      </c>
      <c r="B17" s="26" t="s">
        <v>150</v>
      </c>
      <c r="C17" s="26" t="s">
        <v>151</v>
      </c>
      <c r="D17" s="26" t="s">
        <v>41</v>
      </c>
      <c r="E17" s="98" t="s">
        <v>42</v>
      </c>
      <c r="F17" s="98" t="s">
        <v>43</v>
      </c>
      <c r="G17" s="98" t="s">
        <v>44</v>
      </c>
      <c r="H17" s="98" t="s">
        <v>45</v>
      </c>
      <c r="I17" s="98" t="s">
        <v>46</v>
      </c>
      <c r="J17" s="98" t="s">
        <v>47</v>
      </c>
      <c r="K17" s="26" t="s">
        <v>48</v>
      </c>
      <c r="L17" s="26" t="s">
        <v>49</v>
      </c>
      <c r="M17" s="26" t="s">
        <v>50</v>
      </c>
      <c r="N17" s="26" t="s">
        <v>51</v>
      </c>
      <c r="O17" s="26" t="s">
        <v>52</v>
      </c>
      <c r="P17" s="26" t="s">
        <v>53</v>
      </c>
    </row>
    <row r="18">
      <c r="A18" s="99"/>
      <c r="B18" s="100" t="s">
        <v>152</v>
      </c>
      <c r="C18" s="101" t="s">
        <v>153</v>
      </c>
      <c r="D18" s="100" t="s">
        <v>154</v>
      </c>
      <c r="E18" s="100" t="s">
        <v>155</v>
      </c>
      <c r="F18" s="100" t="s">
        <v>156</v>
      </c>
      <c r="G18" s="101" t="s">
        <v>157</v>
      </c>
      <c r="H18" s="100" t="s">
        <v>158</v>
      </c>
      <c r="I18" s="100" t="s">
        <v>159</v>
      </c>
      <c r="J18" s="100" t="s">
        <v>160</v>
      </c>
      <c r="K18" s="100" t="s">
        <v>161</v>
      </c>
      <c r="L18" s="100" t="s">
        <v>162</v>
      </c>
      <c r="M18" s="101" t="s">
        <v>163</v>
      </c>
      <c r="N18" s="100" t="s">
        <v>164</v>
      </c>
      <c r="O18" s="100" t="s">
        <v>165</v>
      </c>
      <c r="P18" s="100" t="s">
        <v>166</v>
      </c>
    </row>
    <row r="19">
      <c r="A19" s="102">
        <v>1.0</v>
      </c>
      <c r="B19" s="103" t="s">
        <v>167</v>
      </c>
      <c r="C19" s="103" t="s">
        <v>168</v>
      </c>
      <c r="D19" s="103" t="s">
        <v>169</v>
      </c>
      <c r="E19" s="103" t="s">
        <v>170</v>
      </c>
      <c r="F19" s="104" t="s">
        <v>171</v>
      </c>
      <c r="G19" s="103" t="s">
        <v>172</v>
      </c>
      <c r="H19" s="103" t="s">
        <v>173</v>
      </c>
      <c r="I19" s="103" t="s">
        <v>174</v>
      </c>
      <c r="J19" s="103" t="s">
        <v>175</v>
      </c>
      <c r="K19" s="105">
        <v>0.2</v>
      </c>
      <c r="L19" s="104" t="s">
        <v>176</v>
      </c>
      <c r="M19" s="106">
        <v>9.0</v>
      </c>
      <c r="N19" s="106">
        <v>9.0</v>
      </c>
      <c r="O19" s="106">
        <v>10.0</v>
      </c>
      <c r="P19" s="107">
        <f t="shared" ref="P19:P23" si="1">average(M19:O19)</f>
        <v>9.333333333</v>
      </c>
    </row>
    <row r="20">
      <c r="A20" s="108">
        <v>2.0</v>
      </c>
      <c r="B20" s="80" t="s">
        <v>177</v>
      </c>
      <c r="C20" s="109" t="s">
        <v>178</v>
      </c>
      <c r="D20" s="109" t="s">
        <v>179</v>
      </c>
      <c r="E20" s="109" t="s">
        <v>180</v>
      </c>
      <c r="F20" s="109" t="s">
        <v>181</v>
      </c>
      <c r="G20" s="109" t="s">
        <v>182</v>
      </c>
      <c r="H20" s="109" t="s">
        <v>89</v>
      </c>
      <c r="I20" s="109" t="s">
        <v>183</v>
      </c>
      <c r="J20" s="109" t="s">
        <v>175</v>
      </c>
      <c r="K20" s="110">
        <v>0.15</v>
      </c>
      <c r="L20" s="109" t="s">
        <v>184</v>
      </c>
      <c r="M20" s="111">
        <v>8.0</v>
      </c>
      <c r="N20" s="111">
        <v>8.0</v>
      </c>
      <c r="O20" s="111">
        <v>10.0</v>
      </c>
      <c r="P20" s="112">
        <f t="shared" si="1"/>
        <v>8.666666667</v>
      </c>
    </row>
    <row r="21">
      <c r="A21" s="108">
        <v>3.0</v>
      </c>
      <c r="B21" s="113" t="s">
        <v>185</v>
      </c>
      <c r="C21" s="109" t="s">
        <v>186</v>
      </c>
      <c r="D21" s="109" t="s">
        <v>187</v>
      </c>
      <c r="E21" s="109" t="s">
        <v>188</v>
      </c>
      <c r="F21" s="109" t="s">
        <v>189</v>
      </c>
      <c r="G21" s="109" t="s">
        <v>182</v>
      </c>
      <c r="H21" s="109" t="s">
        <v>89</v>
      </c>
      <c r="I21" s="109" t="s">
        <v>190</v>
      </c>
      <c r="J21" s="109" t="s">
        <v>175</v>
      </c>
      <c r="K21" s="110">
        <v>0.15</v>
      </c>
      <c r="L21" s="109" t="s">
        <v>184</v>
      </c>
      <c r="M21" s="111">
        <v>7.0</v>
      </c>
      <c r="N21" s="111">
        <v>8.0</v>
      </c>
      <c r="O21" s="111">
        <v>10.0</v>
      </c>
      <c r="P21" s="112">
        <f t="shared" si="1"/>
        <v>8.333333333</v>
      </c>
    </row>
    <row r="22">
      <c r="A22" s="108">
        <v>4.0</v>
      </c>
      <c r="B22" s="114" t="s">
        <v>191</v>
      </c>
      <c r="C22" s="109" t="s">
        <v>192</v>
      </c>
      <c r="D22" s="109" t="s">
        <v>193</v>
      </c>
      <c r="E22" s="109" t="s">
        <v>194</v>
      </c>
      <c r="F22" s="109" t="s">
        <v>195</v>
      </c>
      <c r="G22" s="109" t="s">
        <v>196</v>
      </c>
      <c r="H22" s="109" t="s">
        <v>89</v>
      </c>
      <c r="I22" s="109" t="s">
        <v>197</v>
      </c>
      <c r="J22" s="109" t="s">
        <v>198</v>
      </c>
      <c r="K22" s="110">
        <v>0.2</v>
      </c>
      <c r="L22" s="109" t="s">
        <v>199</v>
      </c>
      <c r="M22" s="111">
        <v>9.0</v>
      </c>
      <c r="N22" s="111">
        <v>9.0</v>
      </c>
      <c r="O22" s="111">
        <v>8.0</v>
      </c>
      <c r="P22" s="112">
        <f t="shared" si="1"/>
        <v>8.666666667</v>
      </c>
    </row>
    <row r="23">
      <c r="A23" s="108">
        <v>5.0</v>
      </c>
      <c r="B23" s="114" t="s">
        <v>200</v>
      </c>
      <c r="C23" s="109" t="s">
        <v>201</v>
      </c>
      <c r="D23" s="109" t="s">
        <v>202</v>
      </c>
      <c r="E23" s="109" t="s">
        <v>203</v>
      </c>
      <c r="F23" s="109" t="s">
        <v>204</v>
      </c>
      <c r="G23" s="109" t="s">
        <v>182</v>
      </c>
      <c r="H23" s="109" t="s">
        <v>89</v>
      </c>
      <c r="I23" s="109" t="s">
        <v>205</v>
      </c>
      <c r="J23" s="109" t="s">
        <v>175</v>
      </c>
      <c r="K23" s="110">
        <v>0.15</v>
      </c>
      <c r="L23" s="109" t="s">
        <v>206</v>
      </c>
      <c r="M23" s="111">
        <v>7.0</v>
      </c>
      <c r="N23" s="111">
        <v>7.0</v>
      </c>
      <c r="O23" s="111">
        <v>10.0</v>
      </c>
      <c r="P23" s="112">
        <f t="shared" si="1"/>
        <v>8</v>
      </c>
    </row>
  </sheetData>
  <mergeCells count="13">
    <mergeCell ref="A9:F9"/>
    <mergeCell ref="A10:F10"/>
    <mergeCell ref="A11:F11"/>
    <mergeCell ref="A12:F12"/>
    <mergeCell ref="A13:F13"/>
    <mergeCell ref="A14:F14"/>
    <mergeCell ref="A1:P2"/>
    <mergeCell ref="A3:F3"/>
    <mergeCell ref="A4:F4"/>
    <mergeCell ref="A5:F5"/>
    <mergeCell ref="A6:F6"/>
    <mergeCell ref="A7:F7"/>
    <mergeCell ref="A8:F8"/>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1.63"/>
    <col customWidth="1" min="2" max="2" width="101.38"/>
  </cols>
  <sheetData>
    <row r="1">
      <c r="A1" s="115" t="s">
        <v>15</v>
      </c>
      <c r="B1" s="3"/>
    </row>
    <row r="2" ht="44.25" customHeight="1">
      <c r="A2" s="116" t="s">
        <v>207</v>
      </c>
      <c r="B2" s="3"/>
    </row>
    <row r="3" ht="77.25" customHeight="1">
      <c r="A3" s="117" t="s">
        <v>208</v>
      </c>
      <c r="B3" s="3"/>
    </row>
    <row r="4" ht="66.0" customHeight="1">
      <c r="A4" s="117" t="s">
        <v>209</v>
      </c>
      <c r="B4" s="3"/>
    </row>
    <row r="5" ht="43.5" customHeight="1">
      <c r="A5" s="93" t="s">
        <v>210</v>
      </c>
      <c r="B5" s="6"/>
    </row>
    <row r="6" ht="21.75" customHeight="1">
      <c r="A6" s="118" t="str">
        <f>HYPERLINK("https://slack.com/get-started#/ ","Instructions: Signup for Slack at https://slack.com/get-started#/")</f>
        <v>Instructions: Signup for Slack at https://slack.com/get-started#/</v>
      </c>
      <c r="B6" s="6"/>
    </row>
    <row r="7">
      <c r="A7" s="119" t="s">
        <v>211</v>
      </c>
      <c r="B7" s="3"/>
    </row>
    <row r="8">
      <c r="A8" s="120" t="s">
        <v>212</v>
      </c>
      <c r="B8" s="38"/>
    </row>
    <row r="9">
      <c r="A9" s="117" t="s">
        <v>213</v>
      </c>
      <c r="B9" s="3"/>
    </row>
    <row r="10">
      <c r="A10" s="117" t="s">
        <v>214</v>
      </c>
      <c r="B10" s="3"/>
    </row>
    <row r="11">
      <c r="A11" s="121" t="s">
        <v>215</v>
      </c>
      <c r="B11" s="3"/>
    </row>
    <row r="12">
      <c r="A12" s="122" t="s">
        <v>216</v>
      </c>
      <c r="B12" s="38"/>
    </row>
    <row r="13">
      <c r="A13" s="122" t="s">
        <v>217</v>
      </c>
      <c r="B13" s="38"/>
    </row>
    <row r="14">
      <c r="A14" s="122" t="s">
        <v>218</v>
      </c>
      <c r="B14" s="38"/>
    </row>
    <row r="15">
      <c r="A15" s="26" t="s">
        <v>38</v>
      </c>
      <c r="B15" s="26" t="s">
        <v>150</v>
      </c>
    </row>
    <row r="16">
      <c r="A16" s="42" t="s">
        <v>37</v>
      </c>
      <c r="B16" s="123"/>
    </row>
    <row r="17">
      <c r="A17" s="124" t="s">
        <v>219</v>
      </c>
      <c r="B17" s="3"/>
    </row>
    <row r="18">
      <c r="A18" s="125">
        <v>1.0</v>
      </c>
      <c r="B18" s="126" t="s">
        <v>220</v>
      </c>
    </row>
    <row r="19">
      <c r="A19" s="125">
        <v>2.0</v>
      </c>
      <c r="B19" s="127" t="s">
        <v>221</v>
      </c>
    </row>
    <row r="20">
      <c r="A20" s="125">
        <v>3.0</v>
      </c>
      <c r="B20" s="127" t="s">
        <v>222</v>
      </c>
    </row>
    <row r="21">
      <c r="A21" s="125">
        <v>4.0</v>
      </c>
      <c r="B21" s="127" t="s">
        <v>223</v>
      </c>
    </row>
    <row r="22">
      <c r="A22" s="125">
        <v>5.0</v>
      </c>
      <c r="B22" s="127" t="s">
        <v>224</v>
      </c>
    </row>
    <row r="23">
      <c r="A23" s="124" t="s">
        <v>225</v>
      </c>
      <c r="B23" s="3"/>
    </row>
    <row r="24">
      <c r="A24" s="125">
        <v>1.0</v>
      </c>
      <c r="B24" s="126" t="s">
        <v>226</v>
      </c>
    </row>
    <row r="25">
      <c r="A25" s="125">
        <v>2.0</v>
      </c>
      <c r="B25" s="127" t="s">
        <v>227</v>
      </c>
    </row>
    <row r="26">
      <c r="A26" s="125">
        <v>3.0</v>
      </c>
      <c r="B26" s="127" t="s">
        <v>228</v>
      </c>
    </row>
    <row r="27">
      <c r="A27" s="125">
        <v>4.0</v>
      </c>
      <c r="B27" s="127" t="s">
        <v>229</v>
      </c>
    </row>
    <row r="28">
      <c r="A28" s="125">
        <v>5.0</v>
      </c>
      <c r="B28" s="127" t="s">
        <v>230</v>
      </c>
    </row>
    <row r="29">
      <c r="A29" s="124" t="s">
        <v>231</v>
      </c>
      <c r="B29" s="3"/>
    </row>
    <row r="30">
      <c r="A30" s="125">
        <v>1.0</v>
      </c>
      <c r="B30" s="126" t="s">
        <v>232</v>
      </c>
    </row>
    <row r="31">
      <c r="A31" s="125">
        <v>2.0</v>
      </c>
      <c r="B31" s="127" t="s">
        <v>233</v>
      </c>
    </row>
    <row r="32">
      <c r="A32" s="125">
        <v>3.0</v>
      </c>
      <c r="B32" s="127" t="s">
        <v>234</v>
      </c>
    </row>
    <row r="33">
      <c r="A33" s="125">
        <v>4.0</v>
      </c>
      <c r="B33" s="127" t="s">
        <v>235</v>
      </c>
    </row>
    <row r="34">
      <c r="A34" s="125">
        <v>5.0</v>
      </c>
      <c r="B34" s="127" t="s">
        <v>236</v>
      </c>
    </row>
  </sheetData>
  <mergeCells count="17">
    <mergeCell ref="A1:B1"/>
    <mergeCell ref="A2:B2"/>
    <mergeCell ref="A3:B3"/>
    <mergeCell ref="A4:B4"/>
    <mergeCell ref="A5:B5"/>
    <mergeCell ref="A6:B6"/>
    <mergeCell ref="A7:B7"/>
    <mergeCell ref="A17:B17"/>
    <mergeCell ref="A23:B23"/>
    <mergeCell ref="A29:B29"/>
    <mergeCell ref="A8:B8"/>
    <mergeCell ref="A9:B9"/>
    <mergeCell ref="A10:B10"/>
    <mergeCell ref="A11:B11"/>
    <mergeCell ref="A12:B12"/>
    <mergeCell ref="A13:B13"/>
    <mergeCell ref="A14:B14"/>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0.25"/>
    <col customWidth="1" min="2" max="2" width="14.88"/>
    <col customWidth="1" min="3" max="4" width="15.0"/>
    <col customWidth="1" min="5" max="5" width="10.25"/>
    <col customWidth="1" min="18" max="18" width="14.63"/>
    <col customWidth="1" min="19" max="19" width="28.13"/>
    <col customWidth="1" min="20" max="24" width="26.38"/>
  </cols>
  <sheetData>
    <row r="1">
      <c r="A1" s="128" t="s">
        <v>17</v>
      </c>
      <c r="B1" s="2"/>
      <c r="C1" s="2"/>
      <c r="D1" s="2"/>
      <c r="E1" s="2"/>
      <c r="F1" s="2"/>
      <c r="G1" s="2"/>
      <c r="H1" s="2"/>
      <c r="I1" s="2"/>
      <c r="J1" s="2"/>
      <c r="K1" s="2"/>
      <c r="L1" s="2"/>
      <c r="M1" s="2"/>
      <c r="N1" s="2"/>
      <c r="O1" s="2"/>
      <c r="P1" s="2"/>
      <c r="Q1" s="2"/>
      <c r="R1" s="2"/>
      <c r="S1" s="3"/>
      <c r="T1" s="129"/>
      <c r="U1" s="129"/>
      <c r="V1" s="129"/>
      <c r="W1" s="129"/>
      <c r="X1" s="129"/>
    </row>
    <row r="2">
      <c r="A2" s="116" t="s">
        <v>237</v>
      </c>
      <c r="B2" s="2"/>
      <c r="C2" s="2"/>
      <c r="D2" s="2"/>
      <c r="E2" s="2"/>
      <c r="F2" s="2"/>
      <c r="G2" s="2"/>
      <c r="H2" s="2"/>
      <c r="I2" s="3"/>
      <c r="J2" s="130"/>
      <c r="K2" s="130"/>
      <c r="L2" s="130"/>
      <c r="M2" s="130"/>
      <c r="N2" s="130"/>
      <c r="O2" s="131"/>
      <c r="Q2" s="132"/>
      <c r="R2" s="132"/>
    </row>
    <row r="3">
      <c r="A3" s="117" t="s">
        <v>238</v>
      </c>
      <c r="B3" s="2"/>
      <c r="C3" s="2"/>
      <c r="D3" s="2"/>
      <c r="E3" s="2"/>
      <c r="F3" s="2"/>
      <c r="G3" s="2"/>
      <c r="H3" s="2"/>
      <c r="I3" s="3"/>
      <c r="J3" s="130"/>
      <c r="K3" s="130"/>
      <c r="L3" s="130"/>
      <c r="M3" s="130"/>
      <c r="N3" s="130"/>
      <c r="O3" s="131"/>
      <c r="Q3" s="132"/>
      <c r="R3" s="132"/>
    </row>
    <row r="4">
      <c r="A4" s="11" t="s">
        <v>239</v>
      </c>
      <c r="B4" s="8"/>
      <c r="C4" s="8"/>
      <c r="D4" s="8"/>
      <c r="E4" s="8"/>
      <c r="F4" s="8"/>
      <c r="G4" s="8"/>
      <c r="H4" s="8"/>
      <c r="I4" s="9"/>
      <c r="J4" s="130"/>
      <c r="K4" s="130"/>
      <c r="L4" s="130"/>
      <c r="M4" s="130"/>
      <c r="N4" s="130"/>
      <c r="O4" s="131"/>
      <c r="Q4" s="132"/>
      <c r="R4" s="132"/>
    </row>
    <row r="5">
      <c r="A5" s="11" t="s">
        <v>240</v>
      </c>
      <c r="B5" s="8"/>
      <c r="C5" s="8"/>
      <c r="D5" s="8"/>
      <c r="E5" s="8"/>
      <c r="F5" s="8"/>
      <c r="G5" s="8"/>
      <c r="H5" s="8"/>
      <c r="I5" s="9"/>
      <c r="J5" s="130"/>
      <c r="K5" s="130"/>
      <c r="L5" s="130"/>
      <c r="M5" s="130"/>
      <c r="N5" s="130"/>
      <c r="O5" s="131"/>
      <c r="Q5" s="132"/>
      <c r="R5" s="132"/>
    </row>
    <row r="6">
      <c r="A6" s="41" t="s">
        <v>241</v>
      </c>
      <c r="B6" s="8"/>
      <c r="C6" s="8"/>
      <c r="D6" s="8"/>
      <c r="E6" s="8"/>
      <c r="F6" s="8"/>
      <c r="G6" s="8"/>
      <c r="H6" s="8"/>
      <c r="I6" s="9"/>
      <c r="J6" s="130"/>
      <c r="K6" s="130"/>
      <c r="L6" s="130"/>
      <c r="M6" s="130"/>
      <c r="N6" s="130"/>
      <c r="O6" s="131"/>
      <c r="Q6" s="132"/>
      <c r="R6" s="132"/>
    </row>
    <row r="7">
      <c r="A7" s="133" t="s">
        <v>242</v>
      </c>
      <c r="B7" s="5"/>
      <c r="C7" s="5"/>
      <c r="D7" s="5"/>
      <c r="E7" s="5"/>
      <c r="F7" s="5"/>
      <c r="G7" s="5"/>
      <c r="H7" s="5"/>
      <c r="I7" s="6"/>
      <c r="J7" s="134"/>
      <c r="K7" s="134"/>
      <c r="L7" s="134"/>
      <c r="M7" s="134"/>
      <c r="N7" s="134"/>
      <c r="O7" s="131"/>
      <c r="Q7" s="132"/>
      <c r="R7" s="132"/>
    </row>
    <row r="8">
      <c r="A8" s="135" t="s">
        <v>243</v>
      </c>
      <c r="I8" s="38"/>
      <c r="J8" s="134"/>
      <c r="K8" s="134"/>
      <c r="L8" s="134"/>
      <c r="M8" s="134"/>
      <c r="N8" s="134"/>
      <c r="O8" s="131"/>
      <c r="Q8" s="132"/>
      <c r="R8" s="132"/>
    </row>
    <row r="9">
      <c r="A9" s="135" t="s">
        <v>244</v>
      </c>
      <c r="I9" s="38"/>
      <c r="J9" s="134"/>
      <c r="K9" s="134"/>
      <c r="L9" s="134"/>
      <c r="M9" s="134"/>
      <c r="N9" s="134"/>
      <c r="O9" s="131"/>
      <c r="Q9" s="132"/>
      <c r="R9" s="132"/>
    </row>
    <row r="10">
      <c r="A10" s="135" t="s">
        <v>245</v>
      </c>
      <c r="I10" s="38"/>
      <c r="J10" s="134"/>
      <c r="K10" s="134"/>
      <c r="L10" s="134"/>
      <c r="M10" s="134"/>
      <c r="N10" s="134"/>
      <c r="O10" s="131"/>
      <c r="Q10" s="132"/>
      <c r="R10" s="132"/>
    </row>
    <row r="11">
      <c r="A11" s="136" t="s">
        <v>246</v>
      </c>
      <c r="B11" s="8"/>
      <c r="C11" s="8"/>
      <c r="D11" s="8"/>
      <c r="E11" s="8"/>
      <c r="F11" s="8"/>
      <c r="G11" s="8"/>
      <c r="H11" s="8"/>
      <c r="I11" s="9"/>
      <c r="J11" s="134"/>
      <c r="K11" s="134"/>
      <c r="L11" s="134"/>
      <c r="M11" s="134"/>
      <c r="N11" s="134"/>
      <c r="O11" s="131"/>
      <c r="Q11" s="132"/>
      <c r="R11" s="132"/>
    </row>
    <row r="12">
      <c r="A12" s="137" t="s">
        <v>37</v>
      </c>
      <c r="J12" s="134"/>
      <c r="K12" s="134"/>
      <c r="L12" s="134"/>
      <c r="M12" s="134"/>
      <c r="N12" s="134"/>
      <c r="O12" s="131"/>
      <c r="Q12" s="132"/>
      <c r="R12" s="132"/>
    </row>
    <row r="13">
      <c r="A13" s="138"/>
      <c r="B13" s="138"/>
      <c r="C13" s="138"/>
      <c r="D13" s="138"/>
      <c r="E13" s="138"/>
      <c r="F13" s="138"/>
      <c r="G13" s="138"/>
      <c r="H13" s="138"/>
      <c r="I13" s="138"/>
      <c r="J13" s="138"/>
      <c r="K13" s="138"/>
      <c r="L13" s="138"/>
      <c r="M13" s="139"/>
      <c r="N13" s="139"/>
      <c r="O13" s="139"/>
      <c r="P13" s="140"/>
      <c r="Q13" s="141"/>
      <c r="R13" s="141"/>
      <c r="S13" s="140"/>
      <c r="T13" s="140"/>
      <c r="U13" s="140"/>
      <c r="V13" s="140"/>
      <c r="W13" s="140"/>
      <c r="X13" s="140"/>
    </row>
    <row r="14">
      <c r="A14" s="142" t="s">
        <v>247</v>
      </c>
      <c r="B14" s="143"/>
      <c r="C14" s="143"/>
      <c r="D14" s="143"/>
      <c r="E14" s="143"/>
      <c r="F14" s="144"/>
      <c r="G14" s="145"/>
      <c r="H14" s="146"/>
      <c r="I14" s="5"/>
      <c r="J14" s="5"/>
      <c r="K14" s="6"/>
      <c r="L14" s="145"/>
      <c r="M14" s="131"/>
      <c r="N14" s="131"/>
      <c r="O14" s="131"/>
      <c r="Q14" s="132"/>
      <c r="R14" s="132"/>
    </row>
    <row r="15">
      <c r="A15" s="147" t="s">
        <v>248</v>
      </c>
      <c r="B15" s="148"/>
      <c r="C15" s="148"/>
      <c r="D15" s="148"/>
      <c r="E15" s="148"/>
      <c r="F15" s="149"/>
      <c r="G15" s="145"/>
      <c r="H15" s="150"/>
      <c r="K15" s="38"/>
      <c r="L15" s="145"/>
      <c r="M15" s="151" t="s">
        <v>249</v>
      </c>
      <c r="N15" s="5"/>
      <c r="O15" s="6"/>
      <c r="Q15" s="152" t="s">
        <v>250</v>
      </c>
      <c r="R15" s="6"/>
      <c r="S15" s="153" t="s">
        <v>251</v>
      </c>
      <c r="T15" s="154"/>
      <c r="U15" s="154"/>
      <c r="V15" s="154"/>
      <c r="W15" s="154"/>
      <c r="X15" s="154"/>
    </row>
    <row r="16">
      <c r="A16" s="155" t="s">
        <v>252</v>
      </c>
      <c r="B16" s="156" t="s">
        <v>253</v>
      </c>
      <c r="C16" s="157"/>
      <c r="D16" s="157"/>
      <c r="E16" s="157"/>
      <c r="F16" s="158"/>
      <c r="G16" s="159"/>
      <c r="H16" s="150"/>
      <c r="K16" s="38"/>
      <c r="L16" s="159"/>
      <c r="M16" s="150"/>
      <c r="O16" s="38"/>
      <c r="Q16" s="150"/>
      <c r="R16" s="38"/>
      <c r="S16" s="160"/>
      <c r="T16" s="154"/>
      <c r="U16" s="154"/>
      <c r="V16" s="154"/>
      <c r="W16" s="154"/>
      <c r="X16" s="154"/>
    </row>
    <row r="17">
      <c r="A17" s="161" t="s">
        <v>254</v>
      </c>
      <c r="B17" s="162" t="s">
        <v>255</v>
      </c>
      <c r="C17" s="162" t="s">
        <v>256</v>
      </c>
      <c r="D17" s="162" t="s">
        <v>257</v>
      </c>
      <c r="E17" s="162" t="s">
        <v>258</v>
      </c>
      <c r="F17" s="162" t="s">
        <v>259</v>
      </c>
      <c r="G17" s="159"/>
      <c r="H17" s="150"/>
      <c r="K17" s="38"/>
      <c r="L17" s="159"/>
      <c r="M17" s="150"/>
      <c r="O17" s="38"/>
      <c r="Q17" s="7"/>
      <c r="R17" s="9"/>
      <c r="S17" s="163"/>
      <c r="T17" s="154"/>
      <c r="U17" s="154"/>
      <c r="V17" s="154"/>
      <c r="W17" s="154"/>
      <c r="X17" s="154"/>
    </row>
    <row r="18">
      <c r="A18" s="164">
        <v>100.0</v>
      </c>
      <c r="B18" s="165">
        <f>997-200</f>
        <v>797</v>
      </c>
      <c r="C18" s="165">
        <f>139+0</f>
        <v>139</v>
      </c>
      <c r="D18" s="166">
        <f>358</f>
        <v>358</v>
      </c>
      <c r="E18" s="167">
        <f t="shared" ref="E18:E24" si="1">B18+C18</f>
        <v>936</v>
      </c>
      <c r="F18" s="168">
        <f t="shared" ref="F18:F24" si="2">D18/E18</f>
        <v>0.3824786325</v>
      </c>
      <c r="G18" s="169"/>
      <c r="H18" s="150"/>
      <c r="K18" s="38"/>
      <c r="L18" s="169"/>
      <c r="M18" s="150"/>
      <c r="O18" s="38"/>
      <c r="Q18" s="170"/>
      <c r="R18" s="132"/>
      <c r="S18" s="171"/>
      <c r="T18" s="132"/>
      <c r="U18" s="132"/>
      <c r="V18" s="132"/>
      <c r="W18" s="132"/>
      <c r="X18" s="132"/>
    </row>
    <row r="19">
      <c r="A19" s="172">
        <v>500.0</v>
      </c>
      <c r="B19" s="50">
        <f>620-200</f>
        <v>420</v>
      </c>
      <c r="C19" s="50">
        <v>146.0</v>
      </c>
      <c r="D19" s="50">
        <v>282.0</v>
      </c>
      <c r="E19" s="173">
        <f t="shared" si="1"/>
        <v>566</v>
      </c>
      <c r="F19" s="174">
        <f t="shared" si="2"/>
        <v>0.4982332155</v>
      </c>
      <c r="G19" s="175"/>
      <c r="H19" s="150"/>
      <c r="K19" s="38"/>
      <c r="L19" s="175"/>
      <c r="M19" s="150"/>
      <c r="O19" s="38"/>
      <c r="Q19" s="176" t="s">
        <v>260</v>
      </c>
      <c r="R19" s="177" t="s">
        <v>261</v>
      </c>
      <c r="S19" s="6"/>
      <c r="T19" s="154"/>
      <c r="U19" s="154"/>
      <c r="V19" s="154"/>
      <c r="W19" s="154"/>
      <c r="X19" s="154"/>
    </row>
    <row r="20">
      <c r="A20" s="164">
        <v>1000.0</v>
      </c>
      <c r="B20" s="165">
        <f>565-200</f>
        <v>365</v>
      </c>
      <c r="C20" s="165">
        <v>158.0</v>
      </c>
      <c r="D20" s="165">
        <v>249.0</v>
      </c>
      <c r="E20" s="167">
        <f t="shared" si="1"/>
        <v>523</v>
      </c>
      <c r="F20" s="174">
        <f t="shared" si="2"/>
        <v>0.4760994264</v>
      </c>
      <c r="G20" s="175"/>
      <c r="H20" s="150"/>
      <c r="K20" s="38"/>
      <c r="L20" s="175"/>
      <c r="M20" s="150"/>
      <c r="O20" s="38"/>
      <c r="Q20" s="160"/>
      <c r="R20" s="150"/>
      <c r="S20" s="38"/>
      <c r="T20" s="154"/>
      <c r="U20" s="154"/>
      <c r="V20" s="154"/>
      <c r="W20" s="154"/>
      <c r="X20" s="154"/>
    </row>
    <row r="21">
      <c r="A21" s="172">
        <v>2000.0</v>
      </c>
      <c r="B21" s="50">
        <f>432-200</f>
        <v>232</v>
      </c>
      <c r="C21" s="50">
        <v>171.0</v>
      </c>
      <c r="D21" s="50">
        <v>222.0</v>
      </c>
      <c r="E21" s="173">
        <f t="shared" si="1"/>
        <v>403</v>
      </c>
      <c r="F21" s="174">
        <f t="shared" si="2"/>
        <v>0.5508684864</v>
      </c>
      <c r="G21" s="175"/>
      <c r="H21" s="150"/>
      <c r="K21" s="38"/>
      <c r="L21" s="175"/>
      <c r="M21" s="150"/>
      <c r="O21" s="38"/>
      <c r="Q21" s="160"/>
      <c r="R21" s="150"/>
      <c r="S21" s="38"/>
      <c r="T21" s="154"/>
      <c r="U21" s="154"/>
      <c r="V21" s="154"/>
      <c r="W21" s="154"/>
      <c r="X21" s="154"/>
    </row>
    <row r="22">
      <c r="A22" s="164">
        <v>5000.0</v>
      </c>
      <c r="B22" s="178">
        <v>185.0</v>
      </c>
      <c r="C22" s="178">
        <v>190.0</v>
      </c>
      <c r="D22" s="178">
        <v>210.0</v>
      </c>
      <c r="E22" s="167">
        <f t="shared" si="1"/>
        <v>375</v>
      </c>
      <c r="F22" s="174">
        <f t="shared" si="2"/>
        <v>0.56</v>
      </c>
      <c r="G22" s="175"/>
      <c r="H22" s="150"/>
      <c r="K22" s="38"/>
      <c r="L22" s="175"/>
      <c r="M22" s="150"/>
      <c r="O22" s="38"/>
      <c r="P22" s="179"/>
      <c r="Q22" s="160"/>
      <c r="R22" s="150"/>
      <c r="S22" s="38"/>
      <c r="T22" s="154"/>
      <c r="U22" s="154"/>
      <c r="V22" s="154"/>
      <c r="W22" s="154"/>
      <c r="X22" s="154"/>
    </row>
    <row r="23">
      <c r="A23" s="172">
        <v>10000.0</v>
      </c>
      <c r="B23" s="180">
        <v>150.0</v>
      </c>
      <c r="C23" s="180">
        <v>200.0</v>
      </c>
      <c r="D23" s="180">
        <v>200.0</v>
      </c>
      <c r="E23" s="173">
        <f t="shared" si="1"/>
        <v>350</v>
      </c>
      <c r="F23" s="174">
        <f t="shared" si="2"/>
        <v>0.5714285714</v>
      </c>
      <c r="G23" s="175"/>
      <c r="H23" s="150"/>
      <c r="K23" s="38"/>
      <c r="L23" s="175"/>
      <c r="M23" s="150"/>
      <c r="O23" s="38"/>
      <c r="P23" s="179"/>
      <c r="Q23" s="160"/>
      <c r="R23" s="150"/>
      <c r="S23" s="38"/>
      <c r="T23" s="154"/>
      <c r="U23" s="154"/>
      <c r="V23" s="154"/>
      <c r="W23" s="154"/>
      <c r="X23" s="154"/>
    </row>
    <row r="24">
      <c r="A24" s="164">
        <v>20000.0</v>
      </c>
      <c r="B24" s="178">
        <v>120.0</v>
      </c>
      <c r="C24" s="178">
        <v>210.0</v>
      </c>
      <c r="D24" s="178">
        <v>190.0</v>
      </c>
      <c r="E24" s="167">
        <f t="shared" si="1"/>
        <v>330</v>
      </c>
      <c r="F24" s="174">
        <f t="shared" si="2"/>
        <v>0.5757575758</v>
      </c>
      <c r="G24" s="175"/>
      <c r="H24" s="7"/>
      <c r="I24" s="8"/>
      <c r="J24" s="8"/>
      <c r="K24" s="9"/>
      <c r="L24" s="175"/>
      <c r="M24" s="7"/>
      <c r="N24" s="8"/>
      <c r="O24" s="9"/>
      <c r="P24" s="179"/>
      <c r="Q24" s="163"/>
      <c r="R24" s="7"/>
      <c r="S24" s="9"/>
      <c r="T24" s="154"/>
      <c r="U24" s="154"/>
      <c r="V24" s="154"/>
      <c r="W24" s="154"/>
      <c r="X24" s="154"/>
    </row>
    <row r="25">
      <c r="A25" s="138"/>
      <c r="B25" s="138"/>
      <c r="C25" s="138"/>
      <c r="D25" s="138"/>
      <c r="E25" s="138"/>
      <c r="F25" s="138"/>
      <c r="G25" s="138"/>
      <c r="H25" s="138"/>
      <c r="I25" s="138"/>
      <c r="J25" s="138"/>
      <c r="K25" s="138"/>
      <c r="L25" s="138"/>
      <c r="M25" s="139"/>
      <c r="N25" s="139"/>
      <c r="O25" s="139"/>
      <c r="P25" s="140"/>
      <c r="Q25" s="141"/>
      <c r="R25" s="141"/>
      <c r="S25" s="140"/>
      <c r="T25" s="140"/>
      <c r="U25" s="140"/>
      <c r="V25" s="140"/>
      <c r="W25" s="140"/>
      <c r="X25" s="140"/>
    </row>
    <row r="26">
      <c r="A26" s="142" t="s">
        <v>262</v>
      </c>
      <c r="B26" s="2"/>
      <c r="C26" s="2"/>
      <c r="D26" s="2"/>
      <c r="E26" s="2"/>
      <c r="F26" s="3"/>
      <c r="H26" s="146"/>
      <c r="I26" s="5"/>
      <c r="J26" s="5"/>
      <c r="K26" s="6"/>
      <c r="M26" s="131"/>
      <c r="N26" s="131"/>
      <c r="O26" s="131"/>
      <c r="Q26" s="132"/>
      <c r="R26" s="132"/>
      <c r="S26" s="132"/>
      <c r="T26" s="132"/>
      <c r="U26" s="132"/>
      <c r="V26" s="132"/>
      <c r="W26" s="132"/>
      <c r="X26" s="132"/>
    </row>
    <row r="27">
      <c r="A27" s="142" t="s">
        <v>263</v>
      </c>
      <c r="B27" s="2"/>
      <c r="C27" s="2"/>
      <c r="D27" s="2"/>
      <c r="E27" s="2"/>
      <c r="F27" s="3"/>
      <c r="H27" s="150"/>
      <c r="K27" s="38"/>
      <c r="M27" s="151" t="s">
        <v>264</v>
      </c>
      <c r="N27" s="5"/>
      <c r="O27" s="6"/>
      <c r="Q27" s="152" t="s">
        <v>250</v>
      </c>
      <c r="R27" s="6"/>
      <c r="S27" s="153" t="s">
        <v>265</v>
      </c>
      <c r="T27" s="154"/>
      <c r="U27" s="154"/>
      <c r="V27" s="154"/>
      <c r="W27" s="154"/>
      <c r="X27" s="154"/>
    </row>
    <row r="28">
      <c r="A28" s="21" t="s">
        <v>266</v>
      </c>
      <c r="B28" s="142" t="s">
        <v>253</v>
      </c>
      <c r="C28" s="2"/>
      <c r="D28" s="2"/>
      <c r="E28" s="2"/>
      <c r="F28" s="3"/>
      <c r="G28" s="159"/>
      <c r="H28" s="150"/>
      <c r="K28" s="38"/>
      <c r="L28" s="159"/>
      <c r="M28" s="150"/>
      <c r="O28" s="38"/>
      <c r="Q28" s="150"/>
      <c r="R28" s="38"/>
      <c r="S28" s="160"/>
      <c r="T28" s="154"/>
      <c r="U28" s="154"/>
      <c r="V28" s="154"/>
      <c r="W28" s="154"/>
      <c r="X28" s="154"/>
    </row>
    <row r="29">
      <c r="A29" s="181" t="s">
        <v>267</v>
      </c>
      <c r="B29" s="182" t="s">
        <v>255</v>
      </c>
      <c r="C29" s="182" t="s">
        <v>256</v>
      </c>
      <c r="D29" s="182" t="s">
        <v>257</v>
      </c>
      <c r="E29" s="182" t="s">
        <v>258</v>
      </c>
      <c r="F29" s="182" t="s">
        <v>259</v>
      </c>
      <c r="H29" s="150"/>
      <c r="K29" s="38"/>
      <c r="M29" s="150"/>
      <c r="O29" s="38"/>
      <c r="Q29" s="7"/>
      <c r="R29" s="9"/>
      <c r="S29" s="163"/>
      <c r="T29" s="154"/>
      <c r="U29" s="154"/>
      <c r="V29" s="154"/>
      <c r="W29" s="154"/>
      <c r="X29" s="154"/>
    </row>
    <row r="30">
      <c r="A30" s="183" t="s">
        <v>268</v>
      </c>
      <c r="B30" s="62">
        <f>954+150</f>
        <v>1104</v>
      </c>
      <c r="C30" s="62">
        <f>192</f>
        <v>192</v>
      </c>
      <c r="D30" s="184">
        <f>303+150</f>
        <v>453</v>
      </c>
      <c r="E30" s="185">
        <f t="shared" ref="E30:E36" si="3">B30+C30</f>
        <v>1296</v>
      </c>
      <c r="F30" s="174">
        <f t="shared" ref="F30:F36" si="4">D30/E30</f>
        <v>0.349537037</v>
      </c>
      <c r="H30" s="150"/>
      <c r="K30" s="38"/>
      <c r="M30" s="150"/>
      <c r="O30" s="38"/>
      <c r="Q30" s="170"/>
      <c r="R30" s="132"/>
      <c r="S30" s="171"/>
      <c r="T30" s="132"/>
      <c r="U30" s="132"/>
      <c r="V30" s="132"/>
      <c r="W30" s="132"/>
      <c r="X30" s="132"/>
    </row>
    <row r="31">
      <c r="A31" s="183" t="s">
        <v>269</v>
      </c>
      <c r="B31" s="62">
        <f>540+150</f>
        <v>690</v>
      </c>
      <c r="C31" s="62">
        <f>223+150</f>
        <v>373</v>
      </c>
      <c r="D31" s="62">
        <f>277+150</f>
        <v>427</v>
      </c>
      <c r="E31" s="185">
        <f t="shared" si="3"/>
        <v>1063</v>
      </c>
      <c r="F31" s="174">
        <f t="shared" si="4"/>
        <v>0.4016933208</v>
      </c>
      <c r="H31" s="150"/>
      <c r="K31" s="38"/>
      <c r="M31" s="150"/>
      <c r="O31" s="38"/>
      <c r="Q31" s="176" t="s">
        <v>260</v>
      </c>
      <c r="R31" s="177" t="s">
        <v>270</v>
      </c>
      <c r="S31" s="6"/>
      <c r="T31" s="154"/>
      <c r="U31" s="154"/>
      <c r="V31" s="154"/>
      <c r="W31" s="154"/>
      <c r="X31" s="154"/>
    </row>
    <row r="32">
      <c r="A32" s="183" t="s">
        <v>271</v>
      </c>
      <c r="B32" s="62">
        <f>402+150</f>
        <v>552</v>
      </c>
      <c r="C32" s="62">
        <f>238+120</f>
        <v>358</v>
      </c>
      <c r="D32" s="62">
        <f>262+150</f>
        <v>412</v>
      </c>
      <c r="E32" s="185">
        <f t="shared" si="3"/>
        <v>910</v>
      </c>
      <c r="F32" s="174">
        <f t="shared" si="4"/>
        <v>0.4527472527</v>
      </c>
      <c r="H32" s="150"/>
      <c r="K32" s="38"/>
      <c r="M32" s="150"/>
      <c r="O32" s="38"/>
      <c r="Q32" s="160"/>
      <c r="R32" s="150"/>
      <c r="S32" s="38"/>
      <c r="T32" s="154"/>
      <c r="U32" s="154"/>
      <c r="V32" s="154"/>
      <c r="W32" s="154"/>
      <c r="X32" s="154"/>
    </row>
    <row r="33">
      <c r="A33" s="183" t="s">
        <v>272</v>
      </c>
      <c r="B33" s="62">
        <f>310+150</f>
        <v>460</v>
      </c>
      <c r="C33" s="62">
        <f>272+100</f>
        <v>372</v>
      </c>
      <c r="D33" s="62">
        <f>228+150</f>
        <v>378</v>
      </c>
      <c r="E33" s="185">
        <f t="shared" si="3"/>
        <v>832</v>
      </c>
      <c r="F33" s="174">
        <f t="shared" si="4"/>
        <v>0.4543269231</v>
      </c>
      <c r="H33" s="150"/>
      <c r="K33" s="38"/>
      <c r="M33" s="150"/>
      <c r="O33" s="38"/>
      <c r="Q33" s="160"/>
      <c r="R33" s="150"/>
      <c r="S33" s="38"/>
      <c r="T33" s="154"/>
      <c r="U33" s="154"/>
      <c r="V33" s="154"/>
      <c r="W33" s="154"/>
      <c r="X33" s="154"/>
    </row>
    <row r="34">
      <c r="A34" s="183" t="s">
        <v>273</v>
      </c>
      <c r="B34" s="62">
        <f>278+150</f>
        <v>428</v>
      </c>
      <c r="C34" s="62">
        <f>291+100</f>
        <v>391</v>
      </c>
      <c r="D34" s="62">
        <f>209+150</f>
        <v>359</v>
      </c>
      <c r="E34" s="185">
        <f t="shared" si="3"/>
        <v>819</v>
      </c>
      <c r="F34" s="174">
        <f t="shared" si="4"/>
        <v>0.4383394383</v>
      </c>
      <c r="H34" s="150"/>
      <c r="K34" s="38"/>
      <c r="M34" s="150"/>
      <c r="O34" s="38"/>
      <c r="P34" s="179"/>
      <c r="Q34" s="160"/>
      <c r="R34" s="150"/>
      <c r="S34" s="38"/>
      <c r="T34" s="154"/>
      <c r="U34" s="154"/>
      <c r="V34" s="154"/>
      <c r="W34" s="154"/>
      <c r="X34" s="154"/>
    </row>
    <row r="35">
      <c r="A35" s="183" t="s">
        <v>274</v>
      </c>
      <c r="B35" s="62">
        <f>202+150</f>
        <v>352</v>
      </c>
      <c r="C35" s="62">
        <f>334</f>
        <v>334</v>
      </c>
      <c r="D35" s="62">
        <f>156+150</f>
        <v>306</v>
      </c>
      <c r="E35" s="185">
        <f t="shared" si="3"/>
        <v>686</v>
      </c>
      <c r="F35" s="174">
        <f t="shared" si="4"/>
        <v>0.4460641399</v>
      </c>
      <c r="H35" s="150"/>
      <c r="K35" s="38"/>
      <c r="M35" s="150"/>
      <c r="O35" s="38"/>
      <c r="P35" s="179"/>
      <c r="Q35" s="160"/>
      <c r="R35" s="150"/>
      <c r="S35" s="38"/>
      <c r="T35" s="154"/>
      <c r="U35" s="154"/>
      <c r="V35" s="154"/>
      <c r="W35" s="154"/>
      <c r="X35" s="154"/>
    </row>
    <row r="36">
      <c r="A36" s="183" t="s">
        <v>275</v>
      </c>
      <c r="B36" s="62">
        <f>160+150</f>
        <v>310</v>
      </c>
      <c r="C36" s="62">
        <f>363</f>
        <v>363</v>
      </c>
      <c r="D36" s="62">
        <f>137+150</f>
        <v>287</v>
      </c>
      <c r="E36" s="185">
        <f t="shared" si="3"/>
        <v>673</v>
      </c>
      <c r="F36" s="174">
        <f t="shared" si="4"/>
        <v>0.426448737</v>
      </c>
      <c r="H36" s="7"/>
      <c r="I36" s="8"/>
      <c r="J36" s="8"/>
      <c r="K36" s="9"/>
      <c r="M36" s="7"/>
      <c r="N36" s="8"/>
      <c r="O36" s="9"/>
      <c r="P36" s="179"/>
      <c r="Q36" s="163"/>
      <c r="R36" s="7"/>
      <c r="S36" s="9"/>
      <c r="T36" s="154"/>
      <c r="U36" s="154"/>
      <c r="V36" s="154"/>
      <c r="W36" s="154"/>
      <c r="X36" s="154"/>
    </row>
    <row r="37">
      <c r="A37" s="138"/>
      <c r="B37" s="138"/>
      <c r="C37" s="138"/>
      <c r="D37" s="138"/>
      <c r="E37" s="138"/>
      <c r="F37" s="138"/>
      <c r="G37" s="138"/>
      <c r="H37" s="138"/>
      <c r="I37" s="138"/>
      <c r="J37" s="138"/>
      <c r="K37" s="138"/>
      <c r="L37" s="138"/>
      <c r="M37" s="139"/>
      <c r="N37" s="139"/>
      <c r="O37" s="139"/>
      <c r="P37" s="140"/>
      <c r="Q37" s="141"/>
      <c r="R37" s="141"/>
      <c r="S37" s="140"/>
      <c r="T37" s="140"/>
      <c r="U37" s="140"/>
      <c r="V37" s="140"/>
      <c r="W37" s="140"/>
      <c r="X37" s="140"/>
    </row>
    <row r="38">
      <c r="A38" s="142" t="s">
        <v>276</v>
      </c>
      <c r="B38" s="2"/>
      <c r="C38" s="2"/>
      <c r="D38" s="2"/>
      <c r="E38" s="2"/>
      <c r="F38" s="3"/>
      <c r="H38" s="146"/>
      <c r="I38" s="5"/>
      <c r="J38" s="5"/>
      <c r="K38" s="6"/>
      <c r="M38" s="131"/>
      <c r="N38" s="131"/>
      <c r="O38" s="131"/>
      <c r="Q38" s="132"/>
      <c r="R38" s="132"/>
      <c r="S38" s="132"/>
      <c r="T38" s="132"/>
      <c r="U38" s="132"/>
      <c r="V38" s="132"/>
      <c r="W38" s="132"/>
      <c r="X38" s="132"/>
    </row>
    <row r="39">
      <c r="A39" s="142" t="s">
        <v>277</v>
      </c>
      <c r="B39" s="2"/>
      <c r="C39" s="2"/>
      <c r="D39" s="2"/>
      <c r="E39" s="2"/>
      <c r="F39" s="3"/>
      <c r="H39" s="150"/>
      <c r="K39" s="38"/>
      <c r="M39" s="151" t="s">
        <v>278</v>
      </c>
      <c r="N39" s="5"/>
      <c r="O39" s="6"/>
      <c r="Q39" s="152" t="s">
        <v>250</v>
      </c>
      <c r="R39" s="6"/>
      <c r="S39" s="153" t="s">
        <v>265</v>
      </c>
      <c r="T39" s="154"/>
      <c r="U39" s="154"/>
      <c r="V39" s="154"/>
      <c r="W39" s="154"/>
      <c r="X39" s="154"/>
    </row>
    <row r="40">
      <c r="A40" s="21" t="s">
        <v>252</v>
      </c>
      <c r="B40" s="142" t="s">
        <v>253</v>
      </c>
      <c r="C40" s="2"/>
      <c r="D40" s="2"/>
      <c r="E40" s="2"/>
      <c r="F40" s="3"/>
      <c r="G40" s="159"/>
      <c r="H40" s="150"/>
      <c r="K40" s="38"/>
      <c r="L40" s="159"/>
      <c r="M40" s="150"/>
      <c r="O40" s="38"/>
      <c r="Q40" s="150"/>
      <c r="R40" s="38"/>
      <c r="S40" s="160"/>
      <c r="T40" s="154"/>
      <c r="U40" s="154"/>
      <c r="V40" s="154"/>
      <c r="W40" s="154"/>
      <c r="X40" s="154"/>
    </row>
    <row r="41">
      <c r="A41" s="181" t="s">
        <v>279</v>
      </c>
      <c r="B41" s="182" t="s">
        <v>255</v>
      </c>
      <c r="C41" s="182" t="s">
        <v>256</v>
      </c>
      <c r="D41" s="182" t="s">
        <v>257</v>
      </c>
      <c r="E41" s="182" t="s">
        <v>258</v>
      </c>
      <c r="F41" s="182" t="s">
        <v>259</v>
      </c>
      <c r="H41" s="150"/>
      <c r="K41" s="38"/>
      <c r="M41" s="150"/>
      <c r="O41" s="38"/>
      <c r="Q41" s="7"/>
      <c r="R41" s="9"/>
      <c r="S41" s="163"/>
      <c r="T41" s="154"/>
      <c r="U41" s="154"/>
      <c r="V41" s="154"/>
      <c r="W41" s="154"/>
      <c r="X41" s="154"/>
    </row>
    <row r="42">
      <c r="A42" s="183" t="s">
        <v>268</v>
      </c>
      <c r="B42" s="62">
        <f>997-600</f>
        <v>397</v>
      </c>
      <c r="C42" s="62">
        <v>139.0</v>
      </c>
      <c r="D42" s="186">
        <v>250.0</v>
      </c>
      <c r="E42" s="185">
        <f t="shared" ref="E42:E48" si="5">B42+C42</f>
        <v>536</v>
      </c>
      <c r="F42" s="174">
        <f t="shared" ref="F42:F48" si="6">D42/E42</f>
        <v>0.4664179104</v>
      </c>
      <c r="H42" s="150"/>
      <c r="K42" s="38"/>
      <c r="M42" s="150"/>
      <c r="O42" s="38"/>
      <c r="Q42" s="170"/>
      <c r="R42" s="132"/>
      <c r="S42" s="171"/>
      <c r="T42" s="132"/>
      <c r="U42" s="132"/>
      <c r="V42" s="132"/>
      <c r="W42" s="132"/>
      <c r="X42" s="132"/>
    </row>
    <row r="43">
      <c r="A43" s="183" t="s">
        <v>269</v>
      </c>
      <c r="B43" s="62">
        <f>620-350</f>
        <v>270</v>
      </c>
      <c r="C43" s="62">
        <v>146.0</v>
      </c>
      <c r="D43" s="187">
        <v>190.0</v>
      </c>
      <c r="E43" s="185">
        <f t="shared" si="5"/>
        <v>416</v>
      </c>
      <c r="F43" s="174">
        <f t="shared" si="6"/>
        <v>0.4567307692</v>
      </c>
      <c r="H43" s="150"/>
      <c r="K43" s="38"/>
      <c r="M43" s="150"/>
      <c r="O43" s="38"/>
      <c r="Q43" s="176" t="s">
        <v>260</v>
      </c>
      <c r="R43" s="177" t="s">
        <v>280</v>
      </c>
      <c r="S43" s="6"/>
      <c r="T43" s="154"/>
      <c r="U43" s="154"/>
      <c r="V43" s="154"/>
      <c r="W43" s="154"/>
      <c r="X43" s="154"/>
    </row>
    <row r="44">
      <c r="A44" s="183" t="s">
        <v>271</v>
      </c>
      <c r="B44" s="62">
        <f>565-350</f>
        <v>215</v>
      </c>
      <c r="C44" s="62">
        <v>158.0</v>
      </c>
      <c r="D44" s="187">
        <v>170.0</v>
      </c>
      <c r="E44" s="185">
        <f t="shared" si="5"/>
        <v>373</v>
      </c>
      <c r="F44" s="174">
        <f t="shared" si="6"/>
        <v>0.4557640751</v>
      </c>
      <c r="H44" s="150"/>
      <c r="K44" s="38"/>
      <c r="M44" s="150"/>
      <c r="O44" s="38"/>
      <c r="Q44" s="160"/>
      <c r="R44" s="150"/>
      <c r="S44" s="38"/>
      <c r="T44" s="154"/>
      <c r="U44" s="154"/>
      <c r="V44" s="154"/>
      <c r="W44" s="154"/>
      <c r="X44" s="154"/>
    </row>
    <row r="45">
      <c r="A45" s="183" t="s">
        <v>272</v>
      </c>
      <c r="B45" s="62">
        <f>432-280</f>
        <v>152</v>
      </c>
      <c r="C45" s="62">
        <v>171.0</v>
      </c>
      <c r="D45" s="187">
        <v>145.0</v>
      </c>
      <c r="E45" s="185">
        <f t="shared" si="5"/>
        <v>323</v>
      </c>
      <c r="F45" s="174">
        <f t="shared" si="6"/>
        <v>0.4489164087</v>
      </c>
      <c r="H45" s="150"/>
      <c r="K45" s="38"/>
      <c r="M45" s="150"/>
      <c r="O45" s="38"/>
      <c r="Q45" s="160"/>
      <c r="R45" s="150"/>
      <c r="S45" s="38"/>
      <c r="T45" s="154"/>
      <c r="U45" s="154"/>
      <c r="V45" s="154"/>
      <c r="W45" s="154"/>
      <c r="X45" s="154"/>
    </row>
    <row r="46">
      <c r="A46" s="183" t="s">
        <v>273</v>
      </c>
      <c r="B46" s="62">
        <f>294-190</f>
        <v>104</v>
      </c>
      <c r="C46" s="62">
        <v>179.0</v>
      </c>
      <c r="D46" s="187">
        <v>122.0</v>
      </c>
      <c r="E46" s="185">
        <f t="shared" si="5"/>
        <v>283</v>
      </c>
      <c r="F46" s="174">
        <f t="shared" si="6"/>
        <v>0.4310954064</v>
      </c>
      <c r="H46" s="150"/>
      <c r="K46" s="38"/>
      <c r="M46" s="150"/>
      <c r="O46" s="38"/>
      <c r="P46" s="179"/>
      <c r="Q46" s="160"/>
      <c r="R46" s="150"/>
      <c r="S46" s="38"/>
      <c r="T46" s="154"/>
      <c r="U46" s="154"/>
      <c r="V46" s="154"/>
      <c r="W46" s="154"/>
      <c r="X46" s="154"/>
    </row>
    <row r="47">
      <c r="A47" s="183" t="s">
        <v>274</v>
      </c>
      <c r="B47" s="62">
        <f>209-150</f>
        <v>59</v>
      </c>
      <c r="C47" s="62">
        <v>192.0</v>
      </c>
      <c r="D47" s="187">
        <v>109.0</v>
      </c>
      <c r="E47" s="185">
        <f t="shared" si="5"/>
        <v>251</v>
      </c>
      <c r="F47" s="174">
        <f t="shared" si="6"/>
        <v>0.4342629482</v>
      </c>
      <c r="H47" s="150"/>
      <c r="K47" s="38"/>
      <c r="M47" s="150"/>
      <c r="O47" s="38"/>
      <c r="P47" s="179"/>
      <c r="Q47" s="160"/>
      <c r="R47" s="150"/>
      <c r="S47" s="38"/>
      <c r="T47" s="154"/>
      <c r="U47" s="154"/>
      <c r="V47" s="154"/>
      <c r="W47" s="154"/>
      <c r="X47" s="154"/>
    </row>
    <row r="48" ht="42.75" customHeight="1">
      <c r="A48" s="183" t="s">
        <v>275</v>
      </c>
      <c r="B48" s="62">
        <f>144-120</f>
        <v>24</v>
      </c>
      <c r="C48" s="62">
        <v>214.0</v>
      </c>
      <c r="D48" s="187">
        <v>102.0</v>
      </c>
      <c r="E48" s="185">
        <f t="shared" si="5"/>
        <v>238</v>
      </c>
      <c r="F48" s="174">
        <f t="shared" si="6"/>
        <v>0.4285714286</v>
      </c>
      <c r="H48" s="7"/>
      <c r="I48" s="8"/>
      <c r="J48" s="8"/>
      <c r="K48" s="9"/>
      <c r="M48" s="7"/>
      <c r="N48" s="8"/>
      <c r="O48" s="9"/>
      <c r="P48" s="179"/>
      <c r="Q48" s="163"/>
      <c r="R48" s="7"/>
      <c r="S48" s="9"/>
      <c r="T48" s="154"/>
      <c r="U48" s="154"/>
      <c r="V48" s="154"/>
      <c r="W48" s="154"/>
      <c r="X48" s="154"/>
    </row>
    <row r="49" ht="15.75" customHeight="1">
      <c r="A49" s="138"/>
      <c r="B49" s="138"/>
      <c r="C49" s="138"/>
      <c r="D49" s="138"/>
      <c r="E49" s="138"/>
      <c r="F49" s="138"/>
      <c r="G49" s="138"/>
      <c r="H49" s="138"/>
      <c r="I49" s="138"/>
      <c r="J49" s="138"/>
      <c r="K49" s="138"/>
      <c r="L49" s="138"/>
      <c r="M49" s="139"/>
      <c r="N49" s="139"/>
      <c r="O49" s="139"/>
      <c r="P49" s="140"/>
      <c r="Q49" s="141"/>
      <c r="R49" s="141"/>
      <c r="S49" s="140"/>
      <c r="T49" s="140"/>
      <c r="U49" s="140"/>
      <c r="V49" s="140"/>
      <c r="W49" s="140"/>
      <c r="X49" s="140"/>
    </row>
    <row r="50">
      <c r="D50" s="169"/>
      <c r="P50" s="179"/>
      <c r="Q50" s="188"/>
      <c r="R50" s="189" t="s">
        <v>281</v>
      </c>
      <c r="S50" s="189" t="s">
        <v>282</v>
      </c>
      <c r="T50" s="189"/>
      <c r="U50" s="189"/>
      <c r="V50" s="189"/>
      <c r="W50" s="189"/>
      <c r="X50" s="189"/>
    </row>
    <row r="51">
      <c r="D51" s="175"/>
      <c r="P51" s="152" t="s">
        <v>283</v>
      </c>
      <c r="Q51" s="6"/>
      <c r="R51" s="190" t="s">
        <v>284</v>
      </c>
      <c r="S51" s="190" t="s">
        <v>285</v>
      </c>
      <c r="T51" s="191"/>
      <c r="U51" s="191"/>
      <c r="V51" s="191"/>
      <c r="W51" s="191"/>
      <c r="X51" s="191"/>
    </row>
    <row r="52">
      <c r="D52" s="175"/>
      <c r="P52" s="150"/>
      <c r="Q52" s="38"/>
      <c r="R52" s="160"/>
      <c r="S52" s="160"/>
      <c r="T52" s="191"/>
      <c r="U52" s="191"/>
      <c r="V52" s="191"/>
      <c r="W52" s="191"/>
      <c r="X52" s="191"/>
    </row>
    <row r="53">
      <c r="D53" s="175"/>
      <c r="P53" s="150"/>
      <c r="Q53" s="38"/>
      <c r="R53" s="160"/>
      <c r="S53" s="160"/>
      <c r="T53" s="191"/>
      <c r="U53" s="191"/>
      <c r="V53" s="191"/>
      <c r="W53" s="191"/>
      <c r="X53" s="191"/>
    </row>
    <row r="54">
      <c r="D54" s="175"/>
      <c r="P54" s="150"/>
      <c r="Q54" s="38"/>
      <c r="R54" s="160"/>
      <c r="S54" s="160"/>
      <c r="T54" s="191"/>
      <c r="U54" s="191"/>
      <c r="V54" s="191"/>
      <c r="W54" s="191"/>
      <c r="X54" s="191"/>
    </row>
    <row r="55">
      <c r="D55" s="175"/>
      <c r="P55" s="150"/>
      <c r="Q55" s="38"/>
      <c r="R55" s="160"/>
      <c r="S55" s="160"/>
      <c r="T55" s="191"/>
      <c r="U55" s="191"/>
      <c r="V55" s="191"/>
      <c r="W55" s="191"/>
      <c r="X55" s="191"/>
    </row>
    <row r="56">
      <c r="D56" s="175"/>
      <c r="P56" s="7"/>
      <c r="Q56" s="9"/>
      <c r="R56" s="163"/>
      <c r="S56" s="163"/>
      <c r="T56" s="191"/>
      <c r="U56" s="191"/>
      <c r="V56" s="191"/>
      <c r="W56" s="191"/>
      <c r="X56" s="191"/>
    </row>
    <row r="57">
      <c r="D57" s="175"/>
      <c r="Q57" s="132"/>
      <c r="R57" s="132"/>
      <c r="S57" s="132"/>
      <c r="T57" s="132"/>
      <c r="U57" s="132"/>
      <c r="V57" s="132"/>
      <c r="W57" s="132"/>
      <c r="X57" s="132"/>
    </row>
    <row r="58">
      <c r="D58" s="175"/>
      <c r="Q58" s="132"/>
      <c r="R58" s="132"/>
      <c r="S58" s="132"/>
      <c r="T58" s="132"/>
      <c r="U58" s="132"/>
      <c r="V58" s="132"/>
      <c r="W58" s="132"/>
      <c r="X58" s="132"/>
    </row>
    <row r="59">
      <c r="D59" s="175"/>
      <c r="Q59" s="176" t="s">
        <v>286</v>
      </c>
      <c r="R59" s="177" t="s">
        <v>287</v>
      </c>
      <c r="S59" s="6"/>
      <c r="T59" s="154"/>
      <c r="U59" s="154"/>
      <c r="V59" s="154"/>
      <c r="W59" s="154"/>
      <c r="X59" s="154"/>
    </row>
    <row r="60">
      <c r="D60" s="175"/>
      <c r="Q60" s="160"/>
      <c r="R60" s="150"/>
      <c r="S60" s="38"/>
      <c r="T60" s="154"/>
      <c r="U60" s="154"/>
      <c r="V60" s="154"/>
      <c r="W60" s="154"/>
      <c r="X60" s="154"/>
    </row>
    <row r="61">
      <c r="Q61" s="160"/>
      <c r="R61" s="150"/>
      <c r="S61" s="38"/>
      <c r="T61" s="154"/>
      <c r="U61" s="154"/>
      <c r="V61" s="154"/>
      <c r="W61" s="154"/>
      <c r="X61" s="154"/>
    </row>
    <row r="62">
      <c r="Q62" s="160"/>
      <c r="R62" s="150"/>
      <c r="S62" s="38"/>
      <c r="T62" s="154"/>
      <c r="U62" s="154"/>
      <c r="V62" s="154"/>
      <c r="W62" s="154"/>
      <c r="X62" s="154"/>
    </row>
    <row r="63">
      <c r="Q63" s="160"/>
      <c r="R63" s="150"/>
      <c r="S63" s="38"/>
      <c r="T63" s="154"/>
      <c r="U63" s="154"/>
      <c r="V63" s="154"/>
      <c r="W63" s="154"/>
      <c r="X63" s="154"/>
    </row>
    <row r="64" ht="82.5" customHeight="1">
      <c r="Q64" s="163"/>
      <c r="R64" s="7"/>
      <c r="S64" s="9"/>
      <c r="T64" s="154"/>
      <c r="U64" s="154"/>
      <c r="V64" s="154"/>
      <c r="W64" s="154"/>
      <c r="X64" s="154"/>
    </row>
    <row r="65">
      <c r="A65" s="138"/>
      <c r="B65" s="138"/>
      <c r="C65" s="138"/>
      <c r="D65" s="138"/>
      <c r="E65" s="138"/>
      <c r="F65" s="138"/>
      <c r="G65" s="138"/>
      <c r="H65" s="138"/>
      <c r="I65" s="138"/>
      <c r="J65" s="138"/>
      <c r="K65" s="138"/>
      <c r="L65" s="138"/>
      <c r="M65" s="139"/>
      <c r="N65" s="139"/>
      <c r="O65" s="139"/>
      <c r="P65" s="140"/>
      <c r="Q65" s="141"/>
      <c r="R65" s="141"/>
      <c r="S65" s="140"/>
      <c r="T65" s="140"/>
      <c r="U65" s="140"/>
      <c r="V65" s="140"/>
      <c r="W65" s="140"/>
      <c r="X65" s="140"/>
    </row>
  </sheetData>
  <mergeCells count="44">
    <mergeCell ref="A1:S1"/>
    <mergeCell ref="A2:I2"/>
    <mergeCell ref="A3:I3"/>
    <mergeCell ref="A4:I4"/>
    <mergeCell ref="A5:I5"/>
    <mergeCell ref="A6:I6"/>
    <mergeCell ref="A7:I7"/>
    <mergeCell ref="B16:F16"/>
    <mergeCell ref="A26:F26"/>
    <mergeCell ref="A27:F27"/>
    <mergeCell ref="B28:F28"/>
    <mergeCell ref="A38:F38"/>
    <mergeCell ref="A39:F39"/>
    <mergeCell ref="B40:F40"/>
    <mergeCell ref="A8:I8"/>
    <mergeCell ref="A9:I9"/>
    <mergeCell ref="A10:I10"/>
    <mergeCell ref="A11:I11"/>
    <mergeCell ref="A12:I12"/>
    <mergeCell ref="A14:F14"/>
    <mergeCell ref="A15:F15"/>
    <mergeCell ref="Q19:Q24"/>
    <mergeCell ref="Q27:R29"/>
    <mergeCell ref="H26:K36"/>
    <mergeCell ref="H38:K48"/>
    <mergeCell ref="H14:K24"/>
    <mergeCell ref="M15:O24"/>
    <mergeCell ref="Q15:R17"/>
    <mergeCell ref="S15:S17"/>
    <mergeCell ref="R19:S24"/>
    <mergeCell ref="S27:S29"/>
    <mergeCell ref="R31:S36"/>
    <mergeCell ref="P51:Q56"/>
    <mergeCell ref="R51:R56"/>
    <mergeCell ref="S51:S56"/>
    <mergeCell ref="Q59:Q64"/>
    <mergeCell ref="R59:S64"/>
    <mergeCell ref="M27:O36"/>
    <mergeCell ref="Q31:Q36"/>
    <mergeCell ref="M39:O48"/>
    <mergeCell ref="Q39:R41"/>
    <mergeCell ref="S39:S41"/>
    <mergeCell ref="Q43:Q48"/>
    <mergeCell ref="R43:S48"/>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10.13"/>
    <col customWidth="1" min="3" max="3" width="15.25"/>
    <col customWidth="1" min="4" max="4" width="15.75"/>
    <col customWidth="1" min="5" max="5" width="7.88"/>
    <col customWidth="1" min="6" max="6" width="10.0"/>
    <col customWidth="1" min="19" max="19" width="60.25"/>
  </cols>
  <sheetData>
    <row r="1">
      <c r="A1" s="128" t="s">
        <v>18</v>
      </c>
      <c r="B1" s="2"/>
      <c r="C1" s="2"/>
      <c r="D1" s="2"/>
      <c r="E1" s="2"/>
      <c r="F1" s="2"/>
      <c r="G1" s="2"/>
      <c r="H1" s="2"/>
      <c r="I1" s="2"/>
      <c r="J1" s="2"/>
      <c r="K1" s="2"/>
      <c r="L1" s="2"/>
      <c r="M1" s="2"/>
      <c r="N1" s="2"/>
      <c r="O1" s="2"/>
      <c r="P1" s="2"/>
      <c r="Q1" s="2"/>
      <c r="R1" s="2"/>
      <c r="S1" s="3"/>
      <c r="T1" s="129"/>
      <c r="U1" s="129"/>
      <c r="V1" s="129"/>
      <c r="W1" s="129"/>
      <c r="X1" s="129"/>
    </row>
    <row r="2">
      <c r="A2" s="116" t="s">
        <v>288</v>
      </c>
      <c r="B2" s="2"/>
      <c r="C2" s="2"/>
      <c r="D2" s="2"/>
      <c r="E2" s="2"/>
      <c r="F2" s="2"/>
      <c r="G2" s="2"/>
      <c r="H2" s="2"/>
      <c r="I2" s="3"/>
      <c r="O2" s="192"/>
      <c r="P2" s="131"/>
      <c r="R2" s="132"/>
      <c r="S2" s="132"/>
      <c r="T2" s="132"/>
      <c r="U2" s="132"/>
      <c r="V2" s="132"/>
      <c r="W2" s="132"/>
      <c r="X2" s="132"/>
    </row>
    <row r="3">
      <c r="A3" s="117" t="s">
        <v>289</v>
      </c>
      <c r="B3" s="2"/>
      <c r="C3" s="2"/>
      <c r="D3" s="2"/>
      <c r="E3" s="2"/>
      <c r="F3" s="2"/>
      <c r="G3" s="2"/>
      <c r="H3" s="2"/>
      <c r="I3" s="3"/>
      <c r="O3" s="192"/>
      <c r="P3" s="131"/>
      <c r="R3" s="132"/>
      <c r="S3" s="132"/>
      <c r="T3" s="132"/>
      <c r="U3" s="132"/>
      <c r="V3" s="132"/>
      <c r="W3" s="132"/>
      <c r="X3" s="132"/>
    </row>
    <row r="4">
      <c r="A4" s="11" t="s">
        <v>290</v>
      </c>
      <c r="B4" s="8"/>
      <c r="C4" s="8"/>
      <c r="D4" s="8"/>
      <c r="E4" s="8"/>
      <c r="F4" s="8"/>
      <c r="G4" s="8"/>
      <c r="H4" s="8"/>
      <c r="I4" s="9"/>
      <c r="O4" s="192"/>
      <c r="P4" s="131"/>
      <c r="R4" s="132"/>
      <c r="S4" s="132"/>
      <c r="T4" s="132"/>
      <c r="U4" s="132"/>
      <c r="V4" s="132"/>
      <c r="W4" s="132"/>
      <c r="X4" s="132"/>
    </row>
    <row r="5">
      <c r="A5" s="116" t="s">
        <v>291</v>
      </c>
      <c r="B5" s="2"/>
      <c r="C5" s="2"/>
      <c r="D5" s="2"/>
      <c r="E5" s="2"/>
      <c r="F5" s="2"/>
      <c r="G5" s="2"/>
      <c r="H5" s="2"/>
      <c r="I5" s="3"/>
      <c r="O5" s="192"/>
      <c r="P5" s="131"/>
      <c r="R5" s="132"/>
      <c r="S5" s="132"/>
      <c r="T5" s="132"/>
      <c r="U5" s="132"/>
      <c r="V5" s="132"/>
      <c r="W5" s="132"/>
      <c r="X5" s="132"/>
    </row>
    <row r="6">
      <c r="A6" s="193" t="s">
        <v>292</v>
      </c>
      <c r="B6" s="2"/>
      <c r="C6" s="2"/>
      <c r="D6" s="2"/>
      <c r="E6" s="2"/>
      <c r="F6" s="2"/>
      <c r="G6" s="2"/>
      <c r="H6" s="2"/>
      <c r="I6" s="3"/>
      <c r="O6" s="192"/>
      <c r="P6" s="131"/>
      <c r="R6" s="132"/>
      <c r="S6" s="132"/>
      <c r="T6" s="132"/>
      <c r="U6" s="132"/>
      <c r="V6" s="132"/>
      <c r="W6" s="132"/>
      <c r="X6" s="132"/>
    </row>
    <row r="7">
      <c r="A7" s="193" t="s">
        <v>293</v>
      </c>
      <c r="B7" s="2"/>
      <c r="C7" s="2"/>
      <c r="D7" s="2"/>
      <c r="E7" s="2"/>
      <c r="F7" s="2"/>
      <c r="G7" s="2"/>
      <c r="H7" s="2"/>
      <c r="I7" s="3"/>
      <c r="O7" s="192"/>
      <c r="P7" s="131"/>
      <c r="R7" s="132"/>
      <c r="S7" s="132"/>
      <c r="T7" s="132"/>
      <c r="U7" s="132"/>
      <c r="V7" s="132"/>
      <c r="W7" s="132"/>
      <c r="X7" s="132"/>
    </row>
    <row r="8">
      <c r="A8" s="193" t="s">
        <v>294</v>
      </c>
      <c r="B8" s="2"/>
      <c r="C8" s="2"/>
      <c r="D8" s="2"/>
      <c r="E8" s="2"/>
      <c r="F8" s="2"/>
      <c r="G8" s="2"/>
      <c r="H8" s="2"/>
      <c r="I8" s="3"/>
      <c r="O8" s="192"/>
      <c r="P8" s="131"/>
      <c r="R8" s="132"/>
      <c r="S8" s="132"/>
      <c r="T8" s="132"/>
      <c r="U8" s="132"/>
      <c r="V8" s="132"/>
      <c r="W8" s="132"/>
      <c r="X8" s="132"/>
    </row>
    <row r="9">
      <c r="A9" s="193" t="s">
        <v>295</v>
      </c>
      <c r="B9" s="2"/>
      <c r="C9" s="2"/>
      <c r="D9" s="2"/>
      <c r="E9" s="2"/>
      <c r="F9" s="2"/>
      <c r="G9" s="2"/>
      <c r="H9" s="2"/>
      <c r="I9" s="3"/>
      <c r="O9" s="192"/>
      <c r="P9" s="131"/>
      <c r="R9" s="132"/>
      <c r="S9" s="132"/>
      <c r="T9" s="132"/>
      <c r="U9" s="132"/>
      <c r="V9" s="132"/>
      <c r="W9" s="132"/>
      <c r="X9" s="132"/>
    </row>
    <row r="10">
      <c r="A10" s="193" t="s">
        <v>296</v>
      </c>
      <c r="B10" s="2"/>
      <c r="C10" s="2"/>
      <c r="D10" s="2"/>
      <c r="E10" s="2"/>
      <c r="F10" s="2"/>
      <c r="G10" s="2"/>
      <c r="H10" s="2"/>
      <c r="I10" s="3"/>
      <c r="O10" s="192"/>
      <c r="P10" s="131"/>
      <c r="R10" s="132"/>
      <c r="S10" s="132"/>
      <c r="T10" s="132"/>
      <c r="U10" s="132"/>
      <c r="V10" s="132"/>
      <c r="W10" s="132"/>
      <c r="X10" s="132"/>
    </row>
    <row r="11">
      <c r="A11" s="137" t="s">
        <v>37</v>
      </c>
      <c r="J11" s="145"/>
      <c r="K11" s="145"/>
      <c r="L11" s="145"/>
      <c r="M11" s="145"/>
      <c r="N11" s="145"/>
      <c r="O11" s="145"/>
      <c r="P11" s="131"/>
      <c r="R11" s="132"/>
      <c r="S11" s="132"/>
      <c r="T11" s="132"/>
      <c r="U11" s="132"/>
      <c r="V11" s="132"/>
      <c r="W11" s="132"/>
      <c r="X11" s="132"/>
    </row>
    <row r="12">
      <c r="A12" s="145"/>
      <c r="B12" s="145"/>
      <c r="C12" s="145"/>
      <c r="D12" s="145"/>
      <c r="E12" s="145"/>
      <c r="F12" s="145"/>
      <c r="G12" s="145"/>
      <c r="H12" s="145"/>
      <c r="I12" s="145"/>
      <c r="J12" s="145"/>
      <c r="K12" s="145"/>
      <c r="L12" s="145"/>
      <c r="M12" s="145"/>
      <c r="N12" s="145"/>
      <c r="O12" s="145"/>
      <c r="P12" s="131"/>
      <c r="R12" s="132"/>
      <c r="S12" s="132"/>
      <c r="T12" s="132"/>
      <c r="U12" s="132"/>
      <c r="V12" s="132"/>
      <c r="W12" s="132"/>
      <c r="X12" s="132"/>
    </row>
    <row r="13">
      <c r="A13" s="142" t="s">
        <v>297</v>
      </c>
      <c r="B13" s="2"/>
      <c r="C13" s="2"/>
      <c r="D13" s="2"/>
      <c r="E13" s="2"/>
      <c r="F13" s="3"/>
      <c r="H13" s="146"/>
      <c r="I13" s="5"/>
      <c r="J13" s="5"/>
      <c r="K13" s="6"/>
      <c r="L13" s="131"/>
      <c r="M13" s="131"/>
      <c r="N13" s="131"/>
      <c r="O13" s="131"/>
    </row>
    <row r="14">
      <c r="A14" s="142" t="s">
        <v>298</v>
      </c>
      <c r="B14" s="2"/>
      <c r="C14" s="2"/>
      <c r="D14" s="2"/>
      <c r="E14" s="2"/>
      <c r="F14" s="3"/>
      <c r="H14" s="150"/>
      <c r="K14" s="38"/>
      <c r="L14" s="131"/>
      <c r="M14" s="151" t="s">
        <v>299</v>
      </c>
      <c r="N14" s="5"/>
      <c r="O14" s="6"/>
      <c r="Q14" s="152" t="s">
        <v>300</v>
      </c>
      <c r="R14" s="5"/>
      <c r="S14" s="153" t="s">
        <v>301</v>
      </c>
      <c r="T14" s="154"/>
      <c r="U14" s="154"/>
      <c r="V14" s="154"/>
      <c r="W14" s="154"/>
      <c r="X14" s="154"/>
    </row>
    <row r="15">
      <c r="A15" s="21" t="s">
        <v>302</v>
      </c>
      <c r="B15" s="142" t="s">
        <v>253</v>
      </c>
      <c r="C15" s="2"/>
      <c r="D15" s="2"/>
      <c r="E15" s="2"/>
      <c r="F15" s="3"/>
      <c r="H15" s="150"/>
      <c r="K15" s="38"/>
      <c r="L15" s="131"/>
      <c r="M15" s="150"/>
      <c r="O15" s="38"/>
      <c r="Q15" s="150"/>
      <c r="S15" s="160"/>
      <c r="T15" s="154"/>
      <c r="U15" s="154"/>
      <c r="V15" s="154"/>
      <c r="W15" s="154"/>
      <c r="X15" s="154"/>
    </row>
    <row r="16">
      <c r="A16" s="181" t="s">
        <v>303</v>
      </c>
      <c r="B16" s="182" t="s">
        <v>255</v>
      </c>
      <c r="C16" s="182" t="s">
        <v>256</v>
      </c>
      <c r="D16" s="182" t="s">
        <v>257</v>
      </c>
      <c r="E16" s="182" t="s">
        <v>258</v>
      </c>
      <c r="F16" s="182" t="s">
        <v>259</v>
      </c>
      <c r="G16" s="194"/>
      <c r="H16" s="150"/>
      <c r="K16" s="38"/>
      <c r="L16" s="131"/>
      <c r="M16" s="150"/>
      <c r="O16" s="38"/>
      <c r="Q16" s="7"/>
      <c r="R16" s="8"/>
      <c r="S16" s="163"/>
      <c r="T16" s="154"/>
      <c r="U16" s="154"/>
      <c r="V16" s="154"/>
      <c r="W16" s="154"/>
      <c r="X16" s="154"/>
    </row>
    <row r="17">
      <c r="A17" s="183" t="s">
        <v>268</v>
      </c>
      <c r="B17" s="62">
        <f>954-750</f>
        <v>204</v>
      </c>
      <c r="C17" s="62">
        <f>192+150</f>
        <v>342</v>
      </c>
      <c r="D17" s="184">
        <f>303+150</f>
        <v>453</v>
      </c>
      <c r="E17" s="185">
        <f t="shared" ref="E17:E23" si="1">B17+C17</f>
        <v>546</v>
      </c>
      <c r="F17" s="195">
        <f t="shared" ref="F17:F23" si="2">D17/E17</f>
        <v>0.8296703297</v>
      </c>
      <c r="H17" s="150"/>
      <c r="K17" s="38"/>
      <c r="L17" s="131"/>
      <c r="M17" s="150"/>
      <c r="O17" s="38"/>
      <c r="Q17" s="170"/>
      <c r="R17" s="132"/>
      <c r="S17" s="171"/>
      <c r="T17" s="132"/>
      <c r="U17" s="132"/>
      <c r="V17" s="132"/>
      <c r="W17" s="132"/>
      <c r="X17" s="132"/>
    </row>
    <row r="18">
      <c r="A18" s="183" t="s">
        <v>269</v>
      </c>
      <c r="B18" s="62">
        <f>540-370</f>
        <v>170</v>
      </c>
      <c r="C18" s="187">
        <v>360.0</v>
      </c>
      <c r="D18" s="62">
        <f>277+150</f>
        <v>427</v>
      </c>
      <c r="E18" s="185">
        <f t="shared" si="1"/>
        <v>530</v>
      </c>
      <c r="F18" s="174">
        <f t="shared" si="2"/>
        <v>0.8056603774</v>
      </c>
      <c r="H18" s="150"/>
      <c r="K18" s="38"/>
      <c r="L18" s="131"/>
      <c r="M18" s="150"/>
      <c r="O18" s="38"/>
      <c r="Q18" s="176" t="s">
        <v>260</v>
      </c>
      <c r="R18" s="177" t="s">
        <v>304</v>
      </c>
      <c r="S18" s="6"/>
      <c r="T18" s="154"/>
      <c r="U18" s="154"/>
      <c r="V18" s="154"/>
      <c r="W18" s="154"/>
      <c r="X18" s="154"/>
    </row>
    <row r="19">
      <c r="A19" s="183" t="s">
        <v>271</v>
      </c>
      <c r="B19" s="62">
        <f>402-250</f>
        <v>152</v>
      </c>
      <c r="C19" s="187">
        <v>370.0</v>
      </c>
      <c r="D19" s="62">
        <f>262+150</f>
        <v>412</v>
      </c>
      <c r="E19" s="185">
        <f t="shared" si="1"/>
        <v>522</v>
      </c>
      <c r="F19" s="174">
        <f t="shared" si="2"/>
        <v>0.7892720307</v>
      </c>
      <c r="H19" s="150"/>
      <c r="K19" s="38"/>
      <c r="L19" s="131"/>
      <c r="M19" s="150"/>
      <c r="O19" s="38"/>
      <c r="Q19" s="160"/>
      <c r="R19" s="150"/>
      <c r="S19" s="38"/>
      <c r="T19" s="154"/>
      <c r="U19" s="154"/>
      <c r="V19" s="154"/>
      <c r="W19" s="154"/>
      <c r="X19" s="154"/>
    </row>
    <row r="20">
      <c r="A20" s="183" t="s">
        <v>272</v>
      </c>
      <c r="B20" s="62">
        <f>310-200</f>
        <v>110</v>
      </c>
      <c r="C20" s="187">
        <v>380.0</v>
      </c>
      <c r="D20" s="62">
        <f>228+150</f>
        <v>378</v>
      </c>
      <c r="E20" s="185">
        <f t="shared" si="1"/>
        <v>490</v>
      </c>
      <c r="F20" s="174">
        <f t="shared" si="2"/>
        <v>0.7714285714</v>
      </c>
      <c r="H20" s="150"/>
      <c r="K20" s="38"/>
      <c r="L20" s="131"/>
      <c r="M20" s="150"/>
      <c r="O20" s="38"/>
      <c r="Q20" s="160"/>
      <c r="R20" s="150"/>
      <c r="S20" s="38"/>
      <c r="T20" s="154"/>
      <c r="U20" s="154"/>
      <c r="V20" s="154"/>
      <c r="W20" s="154"/>
      <c r="X20" s="154"/>
    </row>
    <row r="21">
      <c r="A21" s="183" t="s">
        <v>273</v>
      </c>
      <c r="B21" s="187">
        <v>90.0</v>
      </c>
      <c r="C21" s="187">
        <v>520.0</v>
      </c>
      <c r="D21" s="62">
        <f>209+150</f>
        <v>359</v>
      </c>
      <c r="E21" s="185">
        <f t="shared" si="1"/>
        <v>610</v>
      </c>
      <c r="F21" s="174">
        <f t="shared" si="2"/>
        <v>0.5885245902</v>
      </c>
      <c r="H21" s="150"/>
      <c r="K21" s="38"/>
      <c r="L21" s="131"/>
      <c r="M21" s="150"/>
      <c r="O21" s="38"/>
      <c r="P21" s="179"/>
      <c r="Q21" s="160"/>
      <c r="R21" s="150"/>
      <c r="S21" s="38"/>
      <c r="T21" s="154"/>
      <c r="U21" s="154"/>
      <c r="V21" s="154"/>
      <c r="W21" s="154"/>
      <c r="X21" s="154"/>
    </row>
    <row r="22">
      <c r="A22" s="183" t="s">
        <v>274</v>
      </c>
      <c r="B22" s="187">
        <v>65.0</v>
      </c>
      <c r="C22" s="187">
        <v>650.0</v>
      </c>
      <c r="D22" s="62">
        <f>156+150</f>
        <v>306</v>
      </c>
      <c r="E22" s="185">
        <f t="shared" si="1"/>
        <v>715</v>
      </c>
      <c r="F22" s="174">
        <f t="shared" si="2"/>
        <v>0.427972028</v>
      </c>
      <c r="H22" s="150"/>
      <c r="K22" s="38"/>
      <c r="L22" s="131"/>
      <c r="M22" s="150"/>
      <c r="O22" s="38"/>
      <c r="P22" s="179"/>
      <c r="Q22" s="160"/>
      <c r="R22" s="150"/>
      <c r="S22" s="38"/>
      <c r="T22" s="154"/>
      <c r="U22" s="154"/>
      <c r="V22" s="154"/>
      <c r="W22" s="154"/>
      <c r="X22" s="154"/>
    </row>
    <row r="23">
      <c r="A23" s="183" t="s">
        <v>275</v>
      </c>
      <c r="B23" s="187">
        <v>30.0</v>
      </c>
      <c r="C23" s="187">
        <v>874.0</v>
      </c>
      <c r="D23" s="62">
        <f>137+150</f>
        <v>287</v>
      </c>
      <c r="E23" s="185">
        <f t="shared" si="1"/>
        <v>904</v>
      </c>
      <c r="F23" s="174">
        <f t="shared" si="2"/>
        <v>0.3174778761</v>
      </c>
      <c r="H23" s="7"/>
      <c r="I23" s="8"/>
      <c r="J23" s="8"/>
      <c r="K23" s="9"/>
      <c r="L23" s="131"/>
      <c r="M23" s="7"/>
      <c r="N23" s="8"/>
      <c r="O23" s="9"/>
      <c r="P23" s="179"/>
      <c r="Q23" s="163"/>
      <c r="R23" s="7"/>
      <c r="S23" s="9"/>
      <c r="T23" s="154"/>
      <c r="U23" s="154"/>
      <c r="V23" s="154"/>
      <c r="W23" s="154"/>
      <c r="X23" s="154"/>
    </row>
    <row r="24">
      <c r="A24" s="194"/>
      <c r="C24" s="175"/>
    </row>
    <row r="25">
      <c r="A25" s="142" t="s">
        <v>305</v>
      </c>
      <c r="B25" s="2"/>
      <c r="C25" s="2"/>
      <c r="D25" s="2"/>
      <c r="E25" s="2"/>
      <c r="F25" s="3"/>
      <c r="H25" s="146"/>
      <c r="I25" s="5"/>
      <c r="J25" s="5"/>
      <c r="K25" s="6"/>
      <c r="L25" s="131"/>
      <c r="M25" s="131"/>
      <c r="N25" s="131"/>
      <c r="O25" s="131"/>
    </row>
    <row r="26">
      <c r="A26" s="142" t="s">
        <v>306</v>
      </c>
      <c r="B26" s="2"/>
      <c r="C26" s="2"/>
      <c r="D26" s="2"/>
      <c r="E26" s="2"/>
      <c r="F26" s="3"/>
      <c r="H26" s="150"/>
      <c r="K26" s="38"/>
      <c r="L26" s="131"/>
      <c r="M26" s="151" t="s">
        <v>307</v>
      </c>
      <c r="N26" s="5"/>
      <c r="O26" s="6"/>
      <c r="Q26" s="152" t="s">
        <v>300</v>
      </c>
      <c r="R26" s="6"/>
      <c r="S26" s="153" t="s">
        <v>308</v>
      </c>
      <c r="T26" s="154"/>
      <c r="U26" s="154"/>
      <c r="V26" s="154"/>
      <c r="W26" s="154"/>
      <c r="X26" s="154"/>
    </row>
    <row r="27">
      <c r="A27" s="21" t="s">
        <v>302</v>
      </c>
      <c r="B27" s="142" t="s">
        <v>253</v>
      </c>
      <c r="C27" s="2"/>
      <c r="D27" s="2"/>
      <c r="E27" s="2"/>
      <c r="F27" s="3"/>
      <c r="H27" s="150"/>
      <c r="K27" s="38"/>
      <c r="L27" s="131"/>
      <c r="M27" s="150"/>
      <c r="O27" s="38"/>
      <c r="Q27" s="150"/>
      <c r="R27" s="38"/>
      <c r="S27" s="160"/>
      <c r="T27" s="154"/>
      <c r="U27" s="154"/>
      <c r="V27" s="154"/>
      <c r="W27" s="154"/>
      <c r="X27" s="154"/>
    </row>
    <row r="28">
      <c r="A28" s="181" t="s">
        <v>303</v>
      </c>
      <c r="B28" s="182" t="s">
        <v>255</v>
      </c>
      <c r="C28" s="182" t="s">
        <v>256</v>
      </c>
      <c r="D28" s="182" t="s">
        <v>257</v>
      </c>
      <c r="E28" s="182" t="s">
        <v>258</v>
      </c>
      <c r="F28" s="182" t="s">
        <v>259</v>
      </c>
      <c r="G28" s="194"/>
      <c r="H28" s="150"/>
      <c r="K28" s="38"/>
      <c r="L28" s="131"/>
      <c r="M28" s="150"/>
      <c r="O28" s="38"/>
      <c r="Q28" s="7"/>
      <c r="R28" s="9"/>
      <c r="S28" s="163"/>
      <c r="T28" s="154"/>
      <c r="U28" s="154"/>
      <c r="V28" s="154"/>
      <c r="W28" s="154"/>
      <c r="X28" s="154"/>
    </row>
    <row r="29">
      <c r="A29" s="183" t="s">
        <v>268</v>
      </c>
      <c r="B29" s="62">
        <f>954+150</f>
        <v>1104</v>
      </c>
      <c r="C29" s="187">
        <v>200.0</v>
      </c>
      <c r="D29" s="186">
        <v>800.0</v>
      </c>
      <c r="E29" s="185">
        <f t="shared" ref="E29:E35" si="3">B29+C29</f>
        <v>1304</v>
      </c>
      <c r="F29" s="174">
        <f t="shared" ref="F29:F35" si="4">D29/E29</f>
        <v>0.6134969325</v>
      </c>
      <c r="H29" s="150"/>
      <c r="K29" s="38"/>
      <c r="L29" s="131"/>
      <c r="M29" s="150"/>
      <c r="O29" s="38"/>
      <c r="Q29" s="170"/>
      <c r="R29" s="132"/>
      <c r="S29" s="171"/>
      <c r="T29" s="132"/>
      <c r="U29" s="132"/>
      <c r="V29" s="132"/>
      <c r="W29" s="132"/>
      <c r="X29" s="132"/>
    </row>
    <row r="30">
      <c r="A30" s="183" t="s">
        <v>269</v>
      </c>
      <c r="B30" s="62">
        <f>540+150</f>
        <v>690</v>
      </c>
      <c r="C30" s="62">
        <f>223+150</f>
        <v>373</v>
      </c>
      <c r="D30" s="62">
        <f>277+150+200</f>
        <v>627</v>
      </c>
      <c r="E30" s="185">
        <f t="shared" si="3"/>
        <v>1063</v>
      </c>
      <c r="F30" s="174">
        <f t="shared" si="4"/>
        <v>0.5898400753</v>
      </c>
      <c r="H30" s="150"/>
      <c r="K30" s="38"/>
      <c r="L30" s="131"/>
      <c r="M30" s="150"/>
      <c r="O30" s="38"/>
      <c r="Q30" s="176" t="s">
        <v>260</v>
      </c>
      <c r="R30" s="177" t="s">
        <v>309</v>
      </c>
      <c r="S30" s="6"/>
      <c r="T30" s="154"/>
      <c r="U30" s="154"/>
      <c r="V30" s="154"/>
      <c r="W30" s="154"/>
      <c r="X30" s="154"/>
    </row>
    <row r="31">
      <c r="A31" s="183" t="s">
        <v>271</v>
      </c>
      <c r="B31" s="62">
        <f>402+150</f>
        <v>552</v>
      </c>
      <c r="C31" s="62">
        <f>238+150</f>
        <v>388</v>
      </c>
      <c r="D31" s="62">
        <f>262+150+120</f>
        <v>532</v>
      </c>
      <c r="E31" s="185">
        <f t="shared" si="3"/>
        <v>940</v>
      </c>
      <c r="F31" s="174">
        <f t="shared" si="4"/>
        <v>0.5659574468</v>
      </c>
      <c r="H31" s="150"/>
      <c r="K31" s="38"/>
      <c r="L31" s="131"/>
      <c r="M31" s="150"/>
      <c r="O31" s="38"/>
      <c r="Q31" s="160"/>
      <c r="R31" s="150"/>
      <c r="S31" s="38"/>
      <c r="T31" s="154"/>
      <c r="U31" s="154"/>
      <c r="V31" s="154"/>
      <c r="W31" s="154"/>
      <c r="X31" s="154"/>
    </row>
    <row r="32">
      <c r="A32" s="183" t="s">
        <v>272</v>
      </c>
      <c r="B32" s="62">
        <f>310+150</f>
        <v>460</v>
      </c>
      <c r="C32" s="62">
        <f>272+150-50</f>
        <v>372</v>
      </c>
      <c r="D32" s="62">
        <f>228+150+80</f>
        <v>458</v>
      </c>
      <c r="E32" s="185">
        <f t="shared" si="3"/>
        <v>832</v>
      </c>
      <c r="F32" s="174">
        <f t="shared" si="4"/>
        <v>0.5504807692</v>
      </c>
      <c r="H32" s="150"/>
      <c r="K32" s="38"/>
      <c r="L32" s="131"/>
      <c r="M32" s="150"/>
      <c r="O32" s="38"/>
      <c r="Q32" s="160"/>
      <c r="R32" s="150"/>
      <c r="S32" s="38"/>
      <c r="T32" s="154"/>
      <c r="U32" s="154"/>
      <c r="V32" s="154"/>
      <c r="W32" s="154"/>
      <c r="X32" s="154"/>
    </row>
    <row r="33">
      <c r="A33" s="183" t="s">
        <v>273</v>
      </c>
      <c r="B33" s="62">
        <f>278+150</f>
        <v>428</v>
      </c>
      <c r="C33" s="62">
        <f>291+150</f>
        <v>441</v>
      </c>
      <c r="D33" s="62">
        <f>209+150</f>
        <v>359</v>
      </c>
      <c r="E33" s="185">
        <f t="shared" si="3"/>
        <v>869</v>
      </c>
      <c r="F33" s="174">
        <f t="shared" si="4"/>
        <v>0.413118527</v>
      </c>
      <c r="H33" s="150"/>
      <c r="K33" s="38"/>
      <c r="L33" s="131"/>
      <c r="M33" s="150"/>
      <c r="O33" s="38"/>
      <c r="P33" s="179"/>
      <c r="Q33" s="160"/>
      <c r="R33" s="150"/>
      <c r="S33" s="38"/>
      <c r="T33" s="154"/>
      <c r="U33" s="154"/>
      <c r="V33" s="154"/>
      <c r="W33" s="154"/>
      <c r="X33" s="154"/>
    </row>
    <row r="34">
      <c r="A34" s="183" t="s">
        <v>274</v>
      </c>
      <c r="B34" s="62">
        <f>202+150</f>
        <v>352</v>
      </c>
      <c r="C34" s="62">
        <f>334+150</f>
        <v>484</v>
      </c>
      <c r="D34" s="62">
        <f>156+150</f>
        <v>306</v>
      </c>
      <c r="E34" s="185">
        <f t="shared" si="3"/>
        <v>836</v>
      </c>
      <c r="F34" s="174">
        <f t="shared" si="4"/>
        <v>0.3660287081</v>
      </c>
      <c r="H34" s="150"/>
      <c r="K34" s="38"/>
      <c r="L34" s="131"/>
      <c r="M34" s="150"/>
      <c r="O34" s="38"/>
      <c r="P34" s="179"/>
      <c r="Q34" s="160"/>
      <c r="R34" s="150"/>
      <c r="S34" s="38"/>
      <c r="T34" s="154"/>
      <c r="U34" s="154"/>
      <c r="V34" s="154"/>
      <c r="W34" s="154"/>
      <c r="X34" s="154"/>
    </row>
    <row r="35">
      <c r="A35" s="183" t="s">
        <v>275</v>
      </c>
      <c r="B35" s="62">
        <f>160+150</f>
        <v>310</v>
      </c>
      <c r="C35" s="62">
        <f>363+150</f>
        <v>513</v>
      </c>
      <c r="D35" s="62">
        <f>137+150-100</f>
        <v>187</v>
      </c>
      <c r="E35" s="185">
        <f t="shared" si="3"/>
        <v>823</v>
      </c>
      <c r="F35" s="174">
        <f t="shared" si="4"/>
        <v>0.227217497</v>
      </c>
      <c r="H35" s="7"/>
      <c r="I35" s="8"/>
      <c r="J35" s="8"/>
      <c r="K35" s="9"/>
      <c r="L35" s="131"/>
      <c r="M35" s="7"/>
      <c r="N35" s="8"/>
      <c r="O35" s="9"/>
      <c r="P35" s="179"/>
      <c r="Q35" s="163"/>
      <c r="R35" s="7"/>
      <c r="S35" s="9"/>
      <c r="T35" s="154"/>
      <c r="U35" s="154"/>
      <c r="V35" s="154"/>
      <c r="W35" s="154"/>
      <c r="X35" s="154"/>
    </row>
    <row r="36">
      <c r="A36" s="194"/>
    </row>
    <row r="37">
      <c r="A37" s="142" t="s">
        <v>310</v>
      </c>
      <c r="B37" s="2"/>
      <c r="C37" s="2"/>
      <c r="D37" s="2"/>
      <c r="E37" s="2"/>
      <c r="F37" s="3"/>
      <c r="H37" s="146"/>
      <c r="I37" s="5"/>
      <c r="J37" s="5"/>
      <c r="K37" s="6"/>
      <c r="L37" s="131"/>
      <c r="M37" s="131"/>
      <c r="N37" s="131"/>
      <c r="O37" s="131"/>
    </row>
    <row r="38">
      <c r="A38" s="142" t="s">
        <v>311</v>
      </c>
      <c r="B38" s="2"/>
      <c r="C38" s="2"/>
      <c r="D38" s="2"/>
      <c r="E38" s="2"/>
      <c r="F38" s="3"/>
      <c r="H38" s="150"/>
      <c r="K38" s="38"/>
      <c r="L38" s="131"/>
      <c r="M38" s="151" t="s">
        <v>312</v>
      </c>
      <c r="N38" s="5"/>
      <c r="O38" s="6"/>
      <c r="Q38" s="152" t="s">
        <v>300</v>
      </c>
      <c r="R38" s="5"/>
      <c r="S38" s="153" t="s">
        <v>97</v>
      </c>
      <c r="T38" s="154"/>
      <c r="U38" s="154"/>
      <c r="V38" s="154"/>
      <c r="W38" s="154"/>
      <c r="X38" s="154"/>
    </row>
    <row r="39">
      <c r="A39" s="21" t="s">
        <v>302</v>
      </c>
      <c r="B39" s="142" t="s">
        <v>253</v>
      </c>
      <c r="C39" s="2"/>
      <c r="D39" s="2"/>
      <c r="E39" s="2"/>
      <c r="F39" s="3"/>
      <c r="H39" s="150"/>
      <c r="K39" s="38"/>
      <c r="L39" s="131"/>
      <c r="M39" s="150"/>
      <c r="O39" s="38"/>
      <c r="Q39" s="150"/>
      <c r="S39" s="160"/>
      <c r="T39" s="154"/>
      <c r="U39" s="154"/>
      <c r="V39" s="154"/>
      <c r="W39" s="154"/>
      <c r="X39" s="154"/>
    </row>
    <row r="40">
      <c r="A40" s="181" t="s">
        <v>303</v>
      </c>
      <c r="B40" s="182" t="s">
        <v>255</v>
      </c>
      <c r="C40" s="182" t="s">
        <v>256</v>
      </c>
      <c r="D40" s="182" t="s">
        <v>257</v>
      </c>
      <c r="E40" s="182" t="s">
        <v>258</v>
      </c>
      <c r="F40" s="182" t="s">
        <v>259</v>
      </c>
      <c r="G40" s="194"/>
      <c r="H40" s="150"/>
      <c r="K40" s="38"/>
      <c r="L40" s="131"/>
      <c r="M40" s="150"/>
      <c r="O40" s="38"/>
      <c r="Q40" s="7"/>
      <c r="R40" s="8"/>
      <c r="S40" s="163"/>
      <c r="T40" s="154"/>
      <c r="U40" s="154"/>
      <c r="V40" s="154"/>
      <c r="W40" s="154"/>
      <c r="X40" s="154"/>
    </row>
    <row r="41">
      <c r="A41" s="183" t="s">
        <v>268</v>
      </c>
      <c r="B41" s="62">
        <f>954+150</f>
        <v>1104</v>
      </c>
      <c r="C41" s="62">
        <f>192+150</f>
        <v>342</v>
      </c>
      <c r="D41" s="184">
        <f>303+300</f>
        <v>603</v>
      </c>
      <c r="E41" s="185">
        <f t="shared" ref="E41:E47" si="5">B41+C41</f>
        <v>1446</v>
      </c>
      <c r="F41" s="174">
        <f t="shared" ref="F41:F47" si="6">D41/E41</f>
        <v>0.4170124481</v>
      </c>
      <c r="H41" s="150"/>
      <c r="K41" s="38"/>
      <c r="L41" s="131"/>
      <c r="M41" s="150"/>
      <c r="O41" s="38"/>
      <c r="Q41" s="170"/>
      <c r="R41" s="132"/>
      <c r="S41" s="171"/>
      <c r="T41" s="132"/>
      <c r="U41" s="132"/>
      <c r="V41" s="132"/>
      <c r="W41" s="132"/>
      <c r="X41" s="132"/>
    </row>
    <row r="42">
      <c r="A42" s="183" t="s">
        <v>269</v>
      </c>
      <c r="B42" s="62">
        <f>540+150</f>
        <v>690</v>
      </c>
      <c r="C42" s="62">
        <f>223+150</f>
        <v>373</v>
      </c>
      <c r="D42" s="62">
        <f>277+150</f>
        <v>427</v>
      </c>
      <c r="E42" s="185">
        <f t="shared" si="5"/>
        <v>1063</v>
      </c>
      <c r="F42" s="174">
        <f t="shared" si="6"/>
        <v>0.4016933208</v>
      </c>
      <c r="H42" s="150"/>
      <c r="K42" s="38"/>
      <c r="L42" s="131"/>
      <c r="M42" s="150"/>
      <c r="O42" s="38"/>
      <c r="Q42" s="176" t="s">
        <v>260</v>
      </c>
      <c r="R42" s="177" t="s">
        <v>313</v>
      </c>
      <c r="S42" s="6"/>
      <c r="T42" s="154"/>
      <c r="U42" s="154"/>
      <c r="V42" s="154"/>
      <c r="W42" s="154"/>
      <c r="X42" s="154"/>
    </row>
    <row r="43">
      <c r="A43" s="183" t="s">
        <v>271</v>
      </c>
      <c r="B43" s="62">
        <f>402+150</f>
        <v>552</v>
      </c>
      <c r="C43" s="62">
        <f>238+150</f>
        <v>388</v>
      </c>
      <c r="D43" s="62">
        <f>262+150</f>
        <v>412</v>
      </c>
      <c r="E43" s="185">
        <f t="shared" si="5"/>
        <v>940</v>
      </c>
      <c r="F43" s="174">
        <f t="shared" si="6"/>
        <v>0.4382978723</v>
      </c>
      <c r="H43" s="150"/>
      <c r="K43" s="38"/>
      <c r="L43" s="131"/>
      <c r="M43" s="150"/>
      <c r="O43" s="38"/>
      <c r="Q43" s="160"/>
      <c r="R43" s="150"/>
      <c r="S43" s="38"/>
      <c r="T43" s="154"/>
      <c r="U43" s="154"/>
      <c r="V43" s="154"/>
      <c r="W43" s="154"/>
      <c r="X43" s="154"/>
    </row>
    <row r="44">
      <c r="A44" s="183" t="s">
        <v>272</v>
      </c>
      <c r="B44" s="62">
        <f>310+150</f>
        <v>460</v>
      </c>
      <c r="C44" s="62">
        <f>272+150</f>
        <v>422</v>
      </c>
      <c r="D44" s="62">
        <f>228+150</f>
        <v>378</v>
      </c>
      <c r="E44" s="185">
        <f t="shared" si="5"/>
        <v>882</v>
      </c>
      <c r="F44" s="174">
        <f t="shared" si="6"/>
        <v>0.4285714286</v>
      </c>
      <c r="H44" s="150"/>
      <c r="K44" s="38"/>
      <c r="L44" s="131"/>
      <c r="M44" s="150"/>
      <c r="O44" s="38"/>
      <c r="Q44" s="160"/>
      <c r="R44" s="150"/>
      <c r="S44" s="38"/>
      <c r="T44" s="154"/>
      <c r="U44" s="154"/>
      <c r="V44" s="154"/>
      <c r="W44" s="154"/>
      <c r="X44" s="154"/>
    </row>
    <row r="45">
      <c r="A45" s="183" t="s">
        <v>273</v>
      </c>
      <c r="B45" s="62">
        <f>278+150</f>
        <v>428</v>
      </c>
      <c r="C45" s="62">
        <f>291+150</f>
        <v>441</v>
      </c>
      <c r="D45" s="62">
        <f>209+150</f>
        <v>359</v>
      </c>
      <c r="E45" s="185">
        <f t="shared" si="5"/>
        <v>869</v>
      </c>
      <c r="F45" s="174">
        <f t="shared" si="6"/>
        <v>0.413118527</v>
      </c>
      <c r="H45" s="150"/>
      <c r="K45" s="38"/>
      <c r="L45" s="131"/>
      <c r="M45" s="150"/>
      <c r="O45" s="38"/>
      <c r="P45" s="179"/>
      <c r="Q45" s="160"/>
      <c r="R45" s="150"/>
      <c r="S45" s="38"/>
      <c r="T45" s="154"/>
      <c r="U45" s="154"/>
      <c r="V45" s="154"/>
      <c r="W45" s="154"/>
      <c r="X45" s="154"/>
    </row>
    <row r="46">
      <c r="A46" s="183" t="s">
        <v>274</v>
      </c>
      <c r="B46" s="62">
        <f>202+150</f>
        <v>352</v>
      </c>
      <c r="C46" s="62">
        <f>334+150</f>
        <v>484</v>
      </c>
      <c r="D46" s="62">
        <f>156+150</f>
        <v>306</v>
      </c>
      <c r="E46" s="185">
        <f t="shared" si="5"/>
        <v>836</v>
      </c>
      <c r="F46" s="174">
        <f t="shared" si="6"/>
        <v>0.3660287081</v>
      </c>
      <c r="H46" s="150"/>
      <c r="K46" s="38"/>
      <c r="L46" s="131"/>
      <c r="M46" s="150"/>
      <c r="O46" s="38"/>
      <c r="P46" s="179"/>
      <c r="Q46" s="160"/>
      <c r="R46" s="150"/>
      <c r="S46" s="38"/>
      <c r="T46" s="154"/>
      <c r="U46" s="154"/>
      <c r="V46" s="154"/>
      <c r="W46" s="154"/>
      <c r="X46" s="154"/>
    </row>
    <row r="47">
      <c r="A47" s="183" t="s">
        <v>275</v>
      </c>
      <c r="B47" s="62">
        <f>160+150</f>
        <v>310</v>
      </c>
      <c r="C47" s="62">
        <f>363+150</f>
        <v>513</v>
      </c>
      <c r="D47" s="62">
        <f>137+150</f>
        <v>287</v>
      </c>
      <c r="E47" s="185">
        <f t="shared" si="5"/>
        <v>823</v>
      </c>
      <c r="F47" s="174">
        <f t="shared" si="6"/>
        <v>0.3487241798</v>
      </c>
      <c r="H47" s="7"/>
      <c r="I47" s="8"/>
      <c r="J47" s="8"/>
      <c r="K47" s="9"/>
      <c r="L47" s="131"/>
      <c r="M47" s="7"/>
      <c r="N47" s="8"/>
      <c r="O47" s="9"/>
      <c r="P47" s="179"/>
      <c r="Q47" s="163"/>
      <c r="R47" s="7"/>
      <c r="S47" s="9"/>
      <c r="T47" s="154"/>
      <c r="U47" s="154"/>
      <c r="V47" s="154"/>
      <c r="W47" s="154"/>
      <c r="X47" s="154"/>
    </row>
    <row r="48">
      <c r="A48" s="194"/>
    </row>
    <row r="49">
      <c r="A49" s="194"/>
      <c r="R49" s="159" t="s">
        <v>281</v>
      </c>
      <c r="S49" s="159" t="s">
        <v>282</v>
      </c>
      <c r="T49" s="159"/>
      <c r="U49" s="159"/>
      <c r="V49" s="159"/>
      <c r="W49" s="159"/>
      <c r="X49" s="159"/>
    </row>
    <row r="50">
      <c r="A50" s="194"/>
      <c r="P50" s="152" t="s">
        <v>314</v>
      </c>
      <c r="Q50" s="6"/>
      <c r="R50" s="190" t="s">
        <v>315</v>
      </c>
      <c r="S50" s="190" t="s">
        <v>316</v>
      </c>
      <c r="T50" s="191"/>
      <c r="U50" s="191"/>
      <c r="V50" s="191"/>
      <c r="W50" s="191"/>
      <c r="X50" s="191"/>
    </row>
    <row r="51">
      <c r="A51" s="194"/>
      <c r="P51" s="150"/>
      <c r="Q51" s="38"/>
      <c r="R51" s="160"/>
      <c r="S51" s="160"/>
      <c r="T51" s="191"/>
      <c r="U51" s="191"/>
      <c r="V51" s="191"/>
      <c r="W51" s="191"/>
      <c r="X51" s="191"/>
    </row>
    <row r="52">
      <c r="A52" s="194"/>
      <c r="P52" s="150"/>
      <c r="Q52" s="38"/>
      <c r="R52" s="160"/>
      <c r="S52" s="160"/>
      <c r="T52" s="191"/>
      <c r="U52" s="191"/>
      <c r="V52" s="191"/>
      <c r="W52" s="191"/>
      <c r="X52" s="191"/>
    </row>
    <row r="53">
      <c r="A53" s="194"/>
      <c r="P53" s="150"/>
      <c r="Q53" s="38"/>
      <c r="R53" s="160"/>
      <c r="S53" s="160"/>
      <c r="T53" s="191"/>
      <c r="U53" s="191"/>
      <c r="V53" s="191"/>
      <c r="W53" s="191"/>
      <c r="X53" s="191"/>
    </row>
    <row r="54">
      <c r="A54" s="194"/>
      <c r="P54" s="150"/>
      <c r="Q54" s="38"/>
      <c r="R54" s="160"/>
      <c r="S54" s="160"/>
      <c r="T54" s="191"/>
      <c r="U54" s="191"/>
      <c r="V54" s="191"/>
      <c r="W54" s="191"/>
      <c r="X54" s="191"/>
    </row>
    <row r="55">
      <c r="A55" s="194"/>
      <c r="P55" s="7"/>
      <c r="Q55" s="9"/>
      <c r="R55" s="163"/>
      <c r="S55" s="163"/>
      <c r="T55" s="191"/>
      <c r="U55" s="191"/>
      <c r="V55" s="191"/>
      <c r="W55" s="191"/>
      <c r="X55" s="191"/>
    </row>
    <row r="56">
      <c r="A56" s="194"/>
      <c r="Q56" s="132"/>
      <c r="R56" s="132"/>
      <c r="S56" s="132"/>
      <c r="T56" s="132"/>
      <c r="U56" s="132"/>
      <c r="V56" s="132"/>
      <c r="W56" s="132"/>
      <c r="X56" s="132"/>
    </row>
    <row r="57">
      <c r="A57" s="194"/>
      <c r="Q57" s="132"/>
      <c r="R57" s="132"/>
      <c r="S57" s="132"/>
      <c r="T57" s="132"/>
      <c r="U57" s="132"/>
      <c r="V57" s="132"/>
      <c r="W57" s="132"/>
      <c r="X57" s="132"/>
    </row>
    <row r="58">
      <c r="A58" s="194"/>
      <c r="Q58" s="176" t="s">
        <v>317</v>
      </c>
      <c r="R58" s="177" t="s">
        <v>318</v>
      </c>
      <c r="S58" s="6"/>
      <c r="T58" s="154"/>
      <c r="U58" s="154"/>
      <c r="V58" s="154"/>
      <c r="W58" s="154"/>
      <c r="X58" s="154"/>
    </row>
    <row r="59">
      <c r="A59" s="194"/>
      <c r="Q59" s="160"/>
      <c r="R59" s="150"/>
      <c r="S59" s="38"/>
      <c r="T59" s="154"/>
      <c r="U59" s="154"/>
      <c r="V59" s="154"/>
      <c r="W59" s="154"/>
      <c r="X59" s="154"/>
    </row>
    <row r="60">
      <c r="A60" s="194"/>
      <c r="Q60" s="160"/>
      <c r="R60" s="150"/>
      <c r="S60" s="38"/>
      <c r="T60" s="154"/>
      <c r="U60" s="154"/>
      <c r="V60" s="154"/>
      <c r="W60" s="154"/>
      <c r="X60" s="154"/>
    </row>
    <row r="61">
      <c r="A61" s="194"/>
      <c r="Q61" s="160"/>
      <c r="R61" s="150"/>
      <c r="S61" s="38"/>
      <c r="T61" s="154"/>
      <c r="U61" s="154"/>
      <c r="V61" s="154"/>
      <c r="W61" s="154"/>
      <c r="X61" s="154"/>
    </row>
    <row r="62">
      <c r="A62" s="194"/>
      <c r="Q62" s="160"/>
      <c r="R62" s="150"/>
      <c r="S62" s="38"/>
      <c r="T62" s="154"/>
      <c r="U62" s="154"/>
      <c r="V62" s="154"/>
      <c r="W62" s="154"/>
      <c r="X62" s="154"/>
    </row>
    <row r="63">
      <c r="A63" s="194"/>
      <c r="Q63" s="163"/>
      <c r="R63" s="7"/>
      <c r="S63" s="9"/>
      <c r="T63" s="154"/>
      <c r="U63" s="154"/>
      <c r="V63" s="154"/>
      <c r="W63" s="154"/>
      <c r="X63" s="154"/>
    </row>
  </sheetData>
  <mergeCells count="43">
    <mergeCell ref="R50:R55"/>
    <mergeCell ref="S50:S55"/>
    <mergeCell ref="Q58:Q63"/>
    <mergeCell ref="R58:S63"/>
    <mergeCell ref="Q18:Q23"/>
    <mergeCell ref="Q30:Q35"/>
    <mergeCell ref="Q38:R40"/>
    <mergeCell ref="S38:S40"/>
    <mergeCell ref="Q42:Q47"/>
    <mergeCell ref="R42:S47"/>
    <mergeCell ref="P50:Q55"/>
    <mergeCell ref="A1:S1"/>
    <mergeCell ref="A2:I2"/>
    <mergeCell ref="A3:I3"/>
    <mergeCell ref="A4:I4"/>
    <mergeCell ref="A5:I5"/>
    <mergeCell ref="A6:I6"/>
    <mergeCell ref="A7:I7"/>
    <mergeCell ref="B15:F15"/>
    <mergeCell ref="A25:F25"/>
    <mergeCell ref="A14:F14"/>
    <mergeCell ref="A26:F26"/>
    <mergeCell ref="M14:O23"/>
    <mergeCell ref="Q14:R16"/>
    <mergeCell ref="S14:S16"/>
    <mergeCell ref="R18:S23"/>
    <mergeCell ref="M26:O35"/>
    <mergeCell ref="Q26:R28"/>
    <mergeCell ref="S26:S28"/>
    <mergeCell ref="R30:S35"/>
    <mergeCell ref="B27:F27"/>
    <mergeCell ref="A37:F37"/>
    <mergeCell ref="H37:K47"/>
    <mergeCell ref="A38:F38"/>
    <mergeCell ref="M38:O47"/>
    <mergeCell ref="B39:F39"/>
    <mergeCell ref="A8:I8"/>
    <mergeCell ref="A9:I9"/>
    <mergeCell ref="A10:I10"/>
    <mergeCell ref="A11:I11"/>
    <mergeCell ref="A13:F13"/>
    <mergeCell ref="H13:K23"/>
    <mergeCell ref="H25:K35"/>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10.13"/>
    <col customWidth="1" min="3" max="3" width="15.25"/>
    <col customWidth="1" min="4" max="4" width="15.75"/>
    <col customWidth="1" min="5" max="5" width="7.88"/>
    <col customWidth="1" min="6" max="6" width="10.0"/>
    <col customWidth="1" min="19" max="24" width="42.13"/>
  </cols>
  <sheetData>
    <row r="1">
      <c r="A1" s="128" t="s">
        <v>19</v>
      </c>
      <c r="B1" s="2"/>
      <c r="C1" s="2"/>
      <c r="D1" s="2"/>
      <c r="E1" s="2"/>
      <c r="F1" s="2"/>
      <c r="G1" s="2"/>
      <c r="H1" s="2"/>
      <c r="I1" s="2"/>
      <c r="J1" s="2"/>
      <c r="K1" s="2"/>
      <c r="L1" s="2"/>
      <c r="M1" s="2"/>
      <c r="N1" s="2"/>
      <c r="O1" s="2"/>
      <c r="P1" s="2"/>
      <c r="Q1" s="2"/>
      <c r="R1" s="2"/>
      <c r="S1" s="3"/>
      <c r="T1" s="129"/>
      <c r="U1" s="129"/>
      <c r="V1" s="129"/>
      <c r="W1" s="129"/>
      <c r="X1" s="129"/>
    </row>
    <row r="2">
      <c r="A2" s="116" t="s">
        <v>319</v>
      </c>
      <c r="B2" s="2"/>
      <c r="C2" s="2"/>
      <c r="D2" s="2"/>
      <c r="E2" s="2"/>
      <c r="F2" s="2"/>
      <c r="G2" s="2"/>
      <c r="H2" s="2"/>
      <c r="I2" s="2"/>
      <c r="J2" s="3"/>
      <c r="K2" s="130"/>
      <c r="L2" s="130"/>
      <c r="M2" s="130"/>
      <c r="N2" s="130"/>
      <c r="O2" s="130"/>
      <c r="P2" s="131"/>
      <c r="R2" s="132"/>
      <c r="S2" s="132"/>
      <c r="T2" s="132"/>
      <c r="U2" s="132"/>
      <c r="V2" s="132"/>
      <c r="W2" s="132"/>
      <c r="X2" s="132"/>
    </row>
    <row r="3">
      <c r="A3" s="117" t="s">
        <v>320</v>
      </c>
      <c r="B3" s="2"/>
      <c r="C3" s="2"/>
      <c r="D3" s="2"/>
      <c r="E3" s="2"/>
      <c r="F3" s="2"/>
      <c r="G3" s="2"/>
      <c r="H3" s="2"/>
      <c r="I3" s="2"/>
      <c r="J3" s="3"/>
      <c r="K3" s="130"/>
      <c r="L3" s="130"/>
      <c r="M3" s="130"/>
      <c r="N3" s="130"/>
      <c r="O3" s="130"/>
      <c r="P3" s="131"/>
      <c r="R3" s="132"/>
      <c r="S3" s="132"/>
      <c r="T3" s="132"/>
      <c r="U3" s="132"/>
      <c r="V3" s="132"/>
      <c r="W3" s="132"/>
      <c r="X3" s="132"/>
    </row>
    <row r="4">
      <c r="A4" s="11" t="s">
        <v>321</v>
      </c>
      <c r="B4" s="8"/>
      <c r="C4" s="8"/>
      <c r="D4" s="8"/>
      <c r="E4" s="8"/>
      <c r="F4" s="8"/>
      <c r="G4" s="8"/>
      <c r="H4" s="8"/>
      <c r="I4" s="8"/>
      <c r="J4" s="9"/>
      <c r="K4" s="130"/>
      <c r="L4" s="130"/>
      <c r="M4" s="130"/>
      <c r="N4" s="130"/>
      <c r="O4" s="130"/>
      <c r="P4" s="131"/>
      <c r="R4" s="132"/>
      <c r="S4" s="132"/>
      <c r="T4" s="132"/>
      <c r="U4" s="132"/>
      <c r="V4" s="132"/>
      <c r="W4" s="132"/>
      <c r="X4" s="132"/>
    </row>
    <row r="5">
      <c r="A5" s="116" t="s">
        <v>322</v>
      </c>
      <c r="B5" s="2"/>
      <c r="C5" s="2"/>
      <c r="D5" s="2"/>
      <c r="E5" s="2"/>
      <c r="F5" s="2"/>
      <c r="G5" s="2"/>
      <c r="H5" s="2"/>
      <c r="I5" s="2"/>
      <c r="J5" s="3"/>
      <c r="K5" s="130"/>
      <c r="L5" s="130"/>
      <c r="M5" s="130"/>
      <c r="N5" s="130"/>
      <c r="O5" s="130"/>
      <c r="P5" s="131"/>
      <c r="R5" s="132"/>
      <c r="S5" s="132"/>
      <c r="T5" s="132"/>
      <c r="U5" s="132"/>
      <c r="V5" s="132"/>
      <c r="W5" s="132"/>
      <c r="X5" s="132"/>
    </row>
    <row r="6">
      <c r="A6" s="193" t="s">
        <v>323</v>
      </c>
      <c r="B6" s="2"/>
      <c r="C6" s="2"/>
      <c r="D6" s="2"/>
      <c r="E6" s="2"/>
      <c r="F6" s="2"/>
      <c r="G6" s="2"/>
      <c r="H6" s="2"/>
      <c r="I6" s="2"/>
      <c r="J6" s="3"/>
      <c r="K6" s="134"/>
      <c r="L6" s="134"/>
      <c r="M6" s="134"/>
      <c r="N6" s="134"/>
      <c r="O6" s="134"/>
      <c r="P6" s="131"/>
      <c r="R6" s="132"/>
      <c r="S6" s="132"/>
      <c r="T6" s="132"/>
      <c r="U6" s="132"/>
      <c r="V6" s="132"/>
      <c r="W6" s="132"/>
      <c r="X6" s="132"/>
    </row>
    <row r="7">
      <c r="A7" s="193" t="s">
        <v>324</v>
      </c>
      <c r="B7" s="2"/>
      <c r="C7" s="2"/>
      <c r="D7" s="2"/>
      <c r="E7" s="2"/>
      <c r="F7" s="2"/>
      <c r="G7" s="2"/>
      <c r="H7" s="2"/>
      <c r="I7" s="2"/>
      <c r="J7" s="3"/>
      <c r="K7" s="134"/>
      <c r="L7" s="134"/>
      <c r="M7" s="134"/>
      <c r="N7" s="134"/>
      <c r="O7" s="134"/>
      <c r="P7" s="131"/>
      <c r="R7" s="132"/>
      <c r="S7" s="132"/>
      <c r="T7" s="132"/>
      <c r="U7" s="132"/>
      <c r="V7" s="132"/>
      <c r="W7" s="132"/>
      <c r="X7" s="132"/>
    </row>
    <row r="8">
      <c r="A8" s="193" t="s">
        <v>325</v>
      </c>
      <c r="B8" s="2"/>
      <c r="C8" s="2"/>
      <c r="D8" s="2"/>
      <c r="E8" s="2"/>
      <c r="F8" s="2"/>
      <c r="G8" s="2"/>
      <c r="H8" s="2"/>
      <c r="I8" s="2"/>
      <c r="J8" s="3"/>
      <c r="K8" s="134"/>
      <c r="L8" s="134"/>
      <c r="M8" s="134"/>
      <c r="N8" s="134"/>
      <c r="O8" s="134"/>
      <c r="P8" s="131"/>
      <c r="R8" s="132"/>
      <c r="S8" s="132"/>
      <c r="T8" s="132"/>
      <c r="U8" s="132"/>
      <c r="V8" s="132"/>
      <c r="W8" s="132"/>
      <c r="X8" s="132"/>
    </row>
    <row r="9">
      <c r="A9" s="193" t="s">
        <v>326</v>
      </c>
      <c r="B9" s="2"/>
      <c r="C9" s="2"/>
      <c r="D9" s="2"/>
      <c r="E9" s="2"/>
      <c r="F9" s="2"/>
      <c r="G9" s="2"/>
      <c r="H9" s="2"/>
      <c r="I9" s="2"/>
      <c r="J9" s="3"/>
      <c r="K9" s="134"/>
      <c r="L9" s="134"/>
      <c r="M9" s="134"/>
      <c r="N9" s="134"/>
      <c r="O9" s="134"/>
      <c r="P9" s="131"/>
      <c r="R9" s="132"/>
      <c r="S9" s="132"/>
      <c r="T9" s="132"/>
      <c r="U9" s="132"/>
      <c r="V9" s="132"/>
      <c r="W9" s="132"/>
      <c r="X9" s="132"/>
    </row>
    <row r="10">
      <c r="A10" s="193" t="s">
        <v>327</v>
      </c>
      <c r="B10" s="2"/>
      <c r="C10" s="2"/>
      <c r="D10" s="2"/>
      <c r="E10" s="2"/>
      <c r="F10" s="2"/>
      <c r="G10" s="2"/>
      <c r="H10" s="2"/>
      <c r="I10" s="2"/>
      <c r="J10" s="3"/>
      <c r="K10" s="134"/>
      <c r="L10" s="134"/>
      <c r="M10" s="134"/>
      <c r="N10" s="134"/>
      <c r="O10" s="134"/>
      <c r="P10" s="131"/>
    </row>
    <row r="11">
      <c r="A11" s="137" t="s">
        <v>37</v>
      </c>
      <c r="J11" s="145"/>
      <c r="K11" s="145"/>
      <c r="L11" s="145"/>
      <c r="M11" s="145"/>
      <c r="N11" s="145"/>
      <c r="O11" s="145"/>
      <c r="P11" s="131"/>
      <c r="R11" s="132"/>
      <c r="S11" s="132"/>
      <c r="T11" s="132"/>
      <c r="U11" s="132"/>
      <c r="V11" s="132"/>
      <c r="W11" s="132"/>
      <c r="X11" s="132"/>
    </row>
    <row r="12">
      <c r="A12" s="142" t="s">
        <v>328</v>
      </c>
      <c r="B12" s="2"/>
      <c r="C12" s="2"/>
      <c r="D12" s="2"/>
      <c r="E12" s="2"/>
      <c r="F12" s="3"/>
      <c r="H12" s="196"/>
      <c r="I12" s="5"/>
      <c r="J12" s="5"/>
      <c r="K12" s="6"/>
      <c r="L12" s="131"/>
      <c r="M12" s="131"/>
      <c r="N12" s="131"/>
      <c r="O12" s="131"/>
    </row>
    <row r="13">
      <c r="A13" s="142" t="s">
        <v>329</v>
      </c>
      <c r="B13" s="2"/>
      <c r="C13" s="2"/>
      <c r="D13" s="2"/>
      <c r="E13" s="2"/>
      <c r="F13" s="3"/>
      <c r="H13" s="150"/>
      <c r="K13" s="38"/>
      <c r="L13" s="131"/>
      <c r="M13" s="151" t="s">
        <v>330</v>
      </c>
      <c r="N13" s="5"/>
      <c r="O13" s="6"/>
      <c r="Q13" s="152" t="s">
        <v>331</v>
      </c>
      <c r="R13" s="6"/>
      <c r="S13" s="153" t="s">
        <v>332</v>
      </c>
      <c r="T13" s="154"/>
      <c r="U13" s="154"/>
      <c r="V13" s="154"/>
      <c r="W13" s="154"/>
      <c r="X13" s="154"/>
    </row>
    <row r="14">
      <c r="A14" s="21" t="s">
        <v>302</v>
      </c>
      <c r="B14" s="142" t="s">
        <v>253</v>
      </c>
      <c r="C14" s="2"/>
      <c r="D14" s="2"/>
      <c r="E14" s="2"/>
      <c r="F14" s="3"/>
      <c r="H14" s="150"/>
      <c r="K14" s="38"/>
      <c r="L14" s="131"/>
      <c r="M14" s="150"/>
      <c r="O14" s="38"/>
      <c r="Q14" s="150"/>
      <c r="R14" s="38"/>
      <c r="S14" s="160"/>
      <c r="T14" s="154"/>
      <c r="U14" s="154"/>
      <c r="V14" s="154"/>
      <c r="W14" s="154"/>
      <c r="X14" s="154"/>
    </row>
    <row r="15">
      <c r="A15" s="181" t="s">
        <v>303</v>
      </c>
      <c r="B15" s="182" t="s">
        <v>255</v>
      </c>
      <c r="C15" s="182" t="s">
        <v>256</v>
      </c>
      <c r="D15" s="182" t="s">
        <v>257</v>
      </c>
      <c r="E15" s="182" t="s">
        <v>258</v>
      </c>
      <c r="F15" s="182" t="s">
        <v>259</v>
      </c>
      <c r="G15" s="194"/>
      <c r="H15" s="150"/>
      <c r="K15" s="38"/>
      <c r="L15" s="131"/>
      <c r="M15" s="150"/>
      <c r="O15" s="38"/>
      <c r="Q15" s="7"/>
      <c r="R15" s="9"/>
      <c r="S15" s="163"/>
      <c r="T15" s="154"/>
      <c r="U15" s="154"/>
      <c r="V15" s="154"/>
      <c r="W15" s="154"/>
      <c r="X15" s="154"/>
    </row>
    <row r="16">
      <c r="A16" s="183" t="s">
        <v>268</v>
      </c>
      <c r="B16" s="62">
        <f>954+150+100</f>
        <v>1204</v>
      </c>
      <c r="C16" s="62">
        <f>192+150</f>
        <v>342</v>
      </c>
      <c r="D16" s="184">
        <f>303+300</f>
        <v>603</v>
      </c>
      <c r="E16" s="185">
        <f t="shared" ref="E16:E22" si="1">B16+C16</f>
        <v>1546</v>
      </c>
      <c r="F16" s="168">
        <f t="shared" ref="F16:F22" si="2">D16/E16</f>
        <v>0.3900388098</v>
      </c>
      <c r="H16" s="150"/>
      <c r="K16" s="38"/>
      <c r="L16" s="131"/>
      <c r="M16" s="150"/>
      <c r="O16" s="38"/>
      <c r="Q16" s="170"/>
      <c r="R16" s="132"/>
      <c r="S16" s="171"/>
      <c r="T16" s="132"/>
      <c r="U16" s="132"/>
      <c r="V16" s="132"/>
      <c r="W16" s="132"/>
      <c r="X16" s="132"/>
    </row>
    <row r="17">
      <c r="A17" s="183" t="s">
        <v>269</v>
      </c>
      <c r="B17" s="62">
        <f>540+150+100</f>
        <v>790</v>
      </c>
      <c r="C17" s="62">
        <f>223+150</f>
        <v>373</v>
      </c>
      <c r="D17" s="62">
        <f>277+150</f>
        <v>427</v>
      </c>
      <c r="E17" s="185">
        <f t="shared" si="1"/>
        <v>1163</v>
      </c>
      <c r="F17" s="174">
        <f t="shared" si="2"/>
        <v>0.3671539123</v>
      </c>
      <c r="H17" s="150"/>
      <c r="K17" s="38"/>
      <c r="L17" s="131"/>
      <c r="M17" s="150"/>
      <c r="O17" s="38"/>
      <c r="Q17" s="176" t="s">
        <v>260</v>
      </c>
      <c r="R17" s="177" t="s">
        <v>333</v>
      </c>
      <c r="S17" s="6"/>
      <c r="T17" s="154"/>
      <c r="U17" s="154"/>
      <c r="V17" s="154"/>
      <c r="W17" s="154"/>
      <c r="X17" s="154"/>
    </row>
    <row r="18">
      <c r="A18" s="183" t="s">
        <v>271</v>
      </c>
      <c r="B18" s="62">
        <f>402+150+100</f>
        <v>652</v>
      </c>
      <c r="C18" s="62">
        <f>238+150</f>
        <v>388</v>
      </c>
      <c r="D18" s="62">
        <f>262+150</f>
        <v>412</v>
      </c>
      <c r="E18" s="185">
        <f t="shared" si="1"/>
        <v>1040</v>
      </c>
      <c r="F18" s="174">
        <f t="shared" si="2"/>
        <v>0.3961538462</v>
      </c>
      <c r="H18" s="150"/>
      <c r="K18" s="38"/>
      <c r="L18" s="131"/>
      <c r="M18" s="150"/>
      <c r="O18" s="38"/>
      <c r="Q18" s="160"/>
      <c r="R18" s="150"/>
      <c r="S18" s="38"/>
      <c r="T18" s="154"/>
      <c r="U18" s="154"/>
      <c r="V18" s="154"/>
      <c r="W18" s="154"/>
      <c r="X18" s="154"/>
    </row>
    <row r="19">
      <c r="A19" s="183" t="s">
        <v>272</v>
      </c>
      <c r="B19" s="62">
        <f>310+150+100</f>
        <v>560</v>
      </c>
      <c r="C19" s="62">
        <f>272+150</f>
        <v>422</v>
      </c>
      <c r="D19" s="62">
        <f>228+150</f>
        <v>378</v>
      </c>
      <c r="E19" s="185">
        <f t="shared" si="1"/>
        <v>982</v>
      </c>
      <c r="F19" s="174">
        <f t="shared" si="2"/>
        <v>0.3849287169</v>
      </c>
      <c r="H19" s="150"/>
      <c r="K19" s="38"/>
      <c r="L19" s="131"/>
      <c r="M19" s="150"/>
      <c r="O19" s="38"/>
      <c r="Q19" s="160"/>
      <c r="R19" s="150"/>
      <c r="S19" s="38"/>
      <c r="T19" s="154"/>
      <c r="U19" s="154"/>
      <c r="V19" s="154"/>
      <c r="W19" s="154"/>
      <c r="X19" s="154"/>
    </row>
    <row r="20">
      <c r="A20" s="183" t="s">
        <v>273</v>
      </c>
      <c r="B20" s="62">
        <f>278+150+100</f>
        <v>528</v>
      </c>
      <c r="C20" s="62">
        <f>291+150</f>
        <v>441</v>
      </c>
      <c r="D20" s="62">
        <f>209+150</f>
        <v>359</v>
      </c>
      <c r="E20" s="185">
        <f t="shared" si="1"/>
        <v>969</v>
      </c>
      <c r="F20" s="174">
        <f t="shared" si="2"/>
        <v>0.3704850361</v>
      </c>
      <c r="H20" s="150"/>
      <c r="K20" s="38"/>
      <c r="L20" s="131"/>
      <c r="M20" s="150"/>
      <c r="O20" s="38"/>
      <c r="P20" s="179"/>
      <c r="Q20" s="160"/>
      <c r="R20" s="150"/>
      <c r="S20" s="38"/>
      <c r="T20" s="154"/>
      <c r="U20" s="154"/>
      <c r="V20" s="154"/>
      <c r="W20" s="154"/>
      <c r="X20" s="154"/>
    </row>
    <row r="21">
      <c r="A21" s="183" t="s">
        <v>274</v>
      </c>
      <c r="B21" s="62">
        <f>202+150+100</f>
        <v>452</v>
      </c>
      <c r="C21" s="62">
        <f>334+150</f>
        <v>484</v>
      </c>
      <c r="D21" s="62">
        <f>156+150</f>
        <v>306</v>
      </c>
      <c r="E21" s="185">
        <f t="shared" si="1"/>
        <v>936</v>
      </c>
      <c r="F21" s="174">
        <f t="shared" si="2"/>
        <v>0.3269230769</v>
      </c>
      <c r="H21" s="150"/>
      <c r="K21" s="38"/>
      <c r="L21" s="131"/>
      <c r="M21" s="150"/>
      <c r="O21" s="38"/>
      <c r="P21" s="179"/>
      <c r="Q21" s="160"/>
      <c r="R21" s="150"/>
      <c r="S21" s="38"/>
      <c r="T21" s="154"/>
      <c r="U21" s="154"/>
      <c r="V21" s="154"/>
      <c r="W21" s="154"/>
      <c r="X21" s="154"/>
    </row>
    <row r="22">
      <c r="A22" s="183" t="s">
        <v>275</v>
      </c>
      <c r="B22" s="62">
        <f>160+150+100</f>
        <v>410</v>
      </c>
      <c r="C22" s="62">
        <f>363+150</f>
        <v>513</v>
      </c>
      <c r="D22" s="62">
        <f>137+150</f>
        <v>287</v>
      </c>
      <c r="E22" s="185">
        <f t="shared" si="1"/>
        <v>923</v>
      </c>
      <c r="F22" s="174">
        <f t="shared" si="2"/>
        <v>0.3109425785</v>
      </c>
      <c r="H22" s="7"/>
      <c r="I22" s="8"/>
      <c r="J22" s="8"/>
      <c r="K22" s="9"/>
      <c r="L22" s="131"/>
      <c r="M22" s="7"/>
      <c r="N22" s="8"/>
      <c r="O22" s="9"/>
      <c r="P22" s="179"/>
      <c r="Q22" s="163"/>
      <c r="R22" s="7"/>
      <c r="S22" s="9"/>
      <c r="T22" s="154"/>
      <c r="U22" s="154"/>
      <c r="V22" s="154"/>
      <c r="W22" s="154"/>
      <c r="X22" s="154"/>
    </row>
    <row r="23">
      <c r="A23" s="194"/>
      <c r="C23" s="175"/>
    </row>
    <row r="24">
      <c r="A24" s="142" t="s">
        <v>334</v>
      </c>
      <c r="B24" s="2"/>
      <c r="C24" s="2"/>
      <c r="D24" s="2"/>
      <c r="E24" s="2"/>
      <c r="F24" s="3"/>
      <c r="H24" s="196"/>
      <c r="I24" s="5"/>
      <c r="J24" s="5"/>
      <c r="K24" s="6"/>
      <c r="L24" s="131"/>
      <c r="M24" s="131"/>
      <c r="N24" s="131"/>
      <c r="O24" s="131"/>
    </row>
    <row r="25">
      <c r="A25" s="142" t="s">
        <v>335</v>
      </c>
      <c r="B25" s="2"/>
      <c r="C25" s="2"/>
      <c r="D25" s="2"/>
      <c r="E25" s="2"/>
      <c r="F25" s="3"/>
      <c r="H25" s="150"/>
      <c r="K25" s="38"/>
      <c r="L25" s="131"/>
      <c r="M25" s="151" t="s">
        <v>336</v>
      </c>
      <c r="N25" s="5"/>
      <c r="O25" s="6"/>
      <c r="Q25" s="152" t="s">
        <v>331</v>
      </c>
      <c r="R25" s="6"/>
      <c r="S25" s="153" t="s">
        <v>337</v>
      </c>
      <c r="T25" s="154"/>
      <c r="U25" s="154"/>
      <c r="V25" s="154"/>
      <c r="W25" s="154"/>
      <c r="X25" s="154"/>
    </row>
    <row r="26">
      <c r="A26" s="21" t="s">
        <v>302</v>
      </c>
      <c r="B26" s="142" t="s">
        <v>253</v>
      </c>
      <c r="C26" s="2"/>
      <c r="D26" s="2"/>
      <c r="E26" s="2"/>
      <c r="F26" s="3"/>
      <c r="H26" s="150"/>
      <c r="K26" s="38"/>
      <c r="L26" s="131"/>
      <c r="M26" s="150"/>
      <c r="O26" s="38"/>
      <c r="Q26" s="150"/>
      <c r="R26" s="38"/>
      <c r="S26" s="160"/>
      <c r="T26" s="154"/>
      <c r="U26" s="154"/>
      <c r="V26" s="154"/>
      <c r="W26" s="154"/>
      <c r="X26" s="154"/>
    </row>
    <row r="27">
      <c r="A27" s="181" t="s">
        <v>303</v>
      </c>
      <c r="B27" s="182" t="s">
        <v>255</v>
      </c>
      <c r="C27" s="182" t="s">
        <v>256</v>
      </c>
      <c r="D27" s="182" t="s">
        <v>257</v>
      </c>
      <c r="E27" s="182" t="s">
        <v>258</v>
      </c>
      <c r="F27" s="182" t="s">
        <v>259</v>
      </c>
      <c r="G27" s="194"/>
      <c r="H27" s="150"/>
      <c r="K27" s="38"/>
      <c r="L27" s="131"/>
      <c r="M27" s="150"/>
      <c r="O27" s="38"/>
      <c r="Q27" s="7"/>
      <c r="R27" s="9"/>
      <c r="S27" s="163"/>
      <c r="T27" s="154"/>
      <c r="U27" s="154"/>
      <c r="V27" s="154"/>
      <c r="W27" s="154"/>
      <c r="X27" s="154"/>
    </row>
    <row r="28">
      <c r="A28" s="183" t="s">
        <v>268</v>
      </c>
      <c r="B28" s="62">
        <f>954+150+100</f>
        <v>1204</v>
      </c>
      <c r="C28" s="187">
        <v>200.0</v>
      </c>
      <c r="D28" s="186">
        <v>800.0</v>
      </c>
      <c r="E28" s="185">
        <f t="shared" ref="E28:E34" si="3">B28+C28</f>
        <v>1404</v>
      </c>
      <c r="F28" s="174">
        <f t="shared" ref="F28:F34" si="4">D28/E28</f>
        <v>0.5698005698</v>
      </c>
      <c r="H28" s="150"/>
      <c r="K28" s="38"/>
      <c r="L28" s="131"/>
      <c r="M28" s="150"/>
      <c r="O28" s="38"/>
      <c r="Q28" s="170"/>
      <c r="R28" s="132"/>
      <c r="S28" s="171"/>
      <c r="T28" s="132"/>
      <c r="U28" s="132"/>
      <c r="V28" s="132"/>
      <c r="W28" s="132"/>
      <c r="X28" s="132"/>
    </row>
    <row r="29">
      <c r="A29" s="183" t="s">
        <v>269</v>
      </c>
      <c r="B29" s="62">
        <f>540+150+100</f>
        <v>790</v>
      </c>
      <c r="C29" s="62">
        <f>223+150</f>
        <v>373</v>
      </c>
      <c r="D29" s="62">
        <f>277+150+200</f>
        <v>627</v>
      </c>
      <c r="E29" s="185">
        <f t="shared" si="3"/>
        <v>1163</v>
      </c>
      <c r="F29" s="174">
        <f t="shared" si="4"/>
        <v>0.5391229579</v>
      </c>
      <c r="H29" s="150"/>
      <c r="K29" s="38"/>
      <c r="L29" s="131"/>
      <c r="M29" s="150"/>
      <c r="O29" s="38"/>
      <c r="Q29" s="176" t="s">
        <v>260</v>
      </c>
      <c r="R29" s="177" t="s">
        <v>338</v>
      </c>
      <c r="S29" s="6"/>
      <c r="T29" s="154"/>
      <c r="U29" s="154"/>
      <c r="V29" s="154"/>
      <c r="W29" s="154"/>
      <c r="X29" s="154"/>
    </row>
    <row r="30">
      <c r="A30" s="183" t="s">
        <v>271</v>
      </c>
      <c r="B30" s="187">
        <v>620.0</v>
      </c>
      <c r="C30" s="62">
        <f>238+150</f>
        <v>388</v>
      </c>
      <c r="D30" s="62">
        <f>262+150+120</f>
        <v>532</v>
      </c>
      <c r="E30" s="185">
        <f t="shared" si="3"/>
        <v>1008</v>
      </c>
      <c r="F30" s="174">
        <f t="shared" si="4"/>
        <v>0.5277777778</v>
      </c>
      <c r="H30" s="150"/>
      <c r="K30" s="38"/>
      <c r="L30" s="131"/>
      <c r="M30" s="150"/>
      <c r="O30" s="38"/>
      <c r="Q30" s="160"/>
      <c r="R30" s="150"/>
      <c r="S30" s="38"/>
      <c r="T30" s="154"/>
      <c r="U30" s="154"/>
      <c r="V30" s="154"/>
      <c r="W30" s="154"/>
      <c r="X30" s="154"/>
    </row>
    <row r="31">
      <c r="A31" s="183" t="s">
        <v>272</v>
      </c>
      <c r="B31" s="187">
        <v>510.0</v>
      </c>
      <c r="C31" s="62">
        <f>272+150-50</f>
        <v>372</v>
      </c>
      <c r="D31" s="62">
        <f>228+150+80</f>
        <v>458</v>
      </c>
      <c r="E31" s="185">
        <f t="shared" si="3"/>
        <v>882</v>
      </c>
      <c r="F31" s="174">
        <f t="shared" si="4"/>
        <v>0.5192743764</v>
      </c>
      <c r="H31" s="150"/>
      <c r="K31" s="38"/>
      <c r="L31" s="131"/>
      <c r="M31" s="150"/>
      <c r="O31" s="38"/>
      <c r="Q31" s="160"/>
      <c r="R31" s="150"/>
      <c r="S31" s="38"/>
      <c r="T31" s="154"/>
      <c r="U31" s="154"/>
      <c r="V31" s="154"/>
      <c r="W31" s="154"/>
      <c r="X31" s="154"/>
    </row>
    <row r="32">
      <c r="A32" s="183" t="s">
        <v>273</v>
      </c>
      <c r="B32" s="187">
        <v>272.0</v>
      </c>
      <c r="C32" s="62">
        <f>291+150</f>
        <v>441</v>
      </c>
      <c r="D32" s="62">
        <f>209+150</f>
        <v>359</v>
      </c>
      <c r="E32" s="185">
        <f t="shared" si="3"/>
        <v>713</v>
      </c>
      <c r="F32" s="174">
        <f t="shared" si="4"/>
        <v>0.5035063114</v>
      </c>
      <c r="H32" s="150"/>
      <c r="K32" s="38"/>
      <c r="L32" s="131"/>
      <c r="M32" s="150"/>
      <c r="O32" s="38"/>
      <c r="P32" s="179"/>
      <c r="Q32" s="160"/>
      <c r="R32" s="150"/>
      <c r="S32" s="38"/>
      <c r="T32" s="154"/>
      <c r="U32" s="154"/>
      <c r="V32" s="154"/>
      <c r="W32" s="154"/>
      <c r="X32" s="154"/>
    </row>
    <row r="33">
      <c r="A33" s="183" t="s">
        <v>274</v>
      </c>
      <c r="B33" s="187">
        <v>135.0</v>
      </c>
      <c r="C33" s="62">
        <f>334+150</f>
        <v>484</v>
      </c>
      <c r="D33" s="62">
        <f>156+150</f>
        <v>306</v>
      </c>
      <c r="E33" s="185">
        <f t="shared" si="3"/>
        <v>619</v>
      </c>
      <c r="F33" s="174">
        <f t="shared" si="4"/>
        <v>0.4943457189</v>
      </c>
      <c r="H33" s="150"/>
      <c r="K33" s="38"/>
      <c r="L33" s="131"/>
      <c r="M33" s="150"/>
      <c r="O33" s="38"/>
      <c r="P33" s="179"/>
      <c r="Q33" s="160"/>
      <c r="R33" s="150"/>
      <c r="S33" s="38"/>
      <c r="T33" s="154"/>
      <c r="U33" s="154"/>
      <c r="V33" s="154"/>
      <c r="W33" s="154"/>
      <c r="X33" s="154"/>
    </row>
    <row r="34">
      <c r="A34" s="183" t="s">
        <v>275</v>
      </c>
      <c r="B34" s="187">
        <v>50.0</v>
      </c>
      <c r="C34" s="187">
        <v>590.0</v>
      </c>
      <c r="D34" s="187">
        <v>300.0</v>
      </c>
      <c r="E34" s="185">
        <f t="shared" si="3"/>
        <v>640</v>
      </c>
      <c r="F34" s="174">
        <f t="shared" si="4"/>
        <v>0.46875</v>
      </c>
      <c r="H34" s="7"/>
      <c r="I34" s="8"/>
      <c r="J34" s="8"/>
      <c r="K34" s="9"/>
      <c r="L34" s="131"/>
      <c r="M34" s="7"/>
      <c r="N34" s="8"/>
      <c r="O34" s="9"/>
      <c r="P34" s="179"/>
      <c r="Q34" s="163"/>
      <c r="R34" s="7"/>
      <c r="S34" s="9"/>
      <c r="T34" s="154"/>
      <c r="U34" s="154"/>
      <c r="V34" s="154"/>
      <c r="W34" s="154"/>
      <c r="X34" s="154"/>
    </row>
    <row r="35">
      <c r="A35" s="194"/>
    </row>
    <row r="36">
      <c r="A36" s="142" t="s">
        <v>339</v>
      </c>
      <c r="B36" s="2"/>
      <c r="C36" s="2"/>
      <c r="D36" s="2"/>
      <c r="E36" s="2"/>
      <c r="F36" s="3"/>
      <c r="H36" s="196"/>
      <c r="I36" s="5"/>
      <c r="J36" s="5"/>
      <c r="K36" s="6"/>
      <c r="L36" s="131"/>
      <c r="M36" s="131"/>
      <c r="N36" s="131"/>
      <c r="O36" s="131"/>
    </row>
    <row r="37">
      <c r="A37" s="142" t="s">
        <v>340</v>
      </c>
      <c r="B37" s="2"/>
      <c r="C37" s="2"/>
      <c r="D37" s="2"/>
      <c r="E37" s="2"/>
      <c r="F37" s="3"/>
      <c r="H37" s="150"/>
      <c r="K37" s="38"/>
      <c r="L37" s="131"/>
      <c r="M37" s="151" t="s">
        <v>341</v>
      </c>
      <c r="N37" s="5"/>
      <c r="O37" s="6"/>
      <c r="Q37" s="152" t="s">
        <v>331</v>
      </c>
      <c r="R37" s="6"/>
      <c r="S37" s="153" t="s">
        <v>342</v>
      </c>
      <c r="T37" s="154"/>
      <c r="U37" s="154"/>
      <c r="V37" s="154"/>
      <c r="W37" s="154"/>
      <c r="X37" s="154"/>
    </row>
    <row r="38">
      <c r="A38" s="21" t="s">
        <v>302</v>
      </c>
      <c r="B38" s="142" t="s">
        <v>253</v>
      </c>
      <c r="C38" s="2"/>
      <c r="D38" s="2"/>
      <c r="E38" s="2"/>
      <c r="F38" s="3"/>
      <c r="H38" s="150"/>
      <c r="K38" s="38"/>
      <c r="L38" s="131"/>
      <c r="M38" s="150"/>
      <c r="O38" s="38"/>
      <c r="Q38" s="150"/>
      <c r="R38" s="38"/>
      <c r="S38" s="160"/>
      <c r="T38" s="154"/>
      <c r="U38" s="154"/>
      <c r="V38" s="154"/>
      <c r="W38" s="154"/>
      <c r="X38" s="154"/>
    </row>
    <row r="39">
      <c r="A39" s="181" t="s">
        <v>343</v>
      </c>
      <c r="B39" s="182" t="s">
        <v>255</v>
      </c>
      <c r="C39" s="182" t="s">
        <v>256</v>
      </c>
      <c r="D39" s="182" t="s">
        <v>257</v>
      </c>
      <c r="E39" s="182" t="s">
        <v>258</v>
      </c>
      <c r="F39" s="182" t="s">
        <v>259</v>
      </c>
      <c r="G39" s="194"/>
      <c r="H39" s="150"/>
      <c r="K39" s="38"/>
      <c r="L39" s="131"/>
      <c r="M39" s="150"/>
      <c r="O39" s="38"/>
      <c r="Q39" s="7"/>
      <c r="R39" s="9"/>
      <c r="S39" s="163"/>
      <c r="T39" s="154"/>
      <c r="U39" s="154"/>
      <c r="V39" s="154"/>
      <c r="W39" s="154"/>
      <c r="X39" s="154"/>
    </row>
    <row r="40">
      <c r="A40" s="183" t="s">
        <v>268</v>
      </c>
      <c r="B40" s="62">
        <f>954-750+100</f>
        <v>304</v>
      </c>
      <c r="C40" s="62">
        <f>192+150</f>
        <v>342</v>
      </c>
      <c r="D40" s="184">
        <f>303+150</f>
        <v>453</v>
      </c>
      <c r="E40" s="185">
        <f t="shared" ref="E40:E46" si="5">B40+C40</f>
        <v>646</v>
      </c>
      <c r="F40" s="174">
        <f t="shared" ref="F40:F46" si="6">D40/E40</f>
        <v>0.7012383901</v>
      </c>
      <c r="H40" s="150"/>
      <c r="K40" s="38"/>
      <c r="L40" s="131"/>
      <c r="M40" s="150"/>
      <c r="O40" s="38"/>
      <c r="Q40" s="170"/>
      <c r="R40" s="132"/>
      <c r="S40" s="171"/>
      <c r="T40" s="132"/>
      <c r="U40" s="132"/>
      <c r="V40" s="132"/>
      <c r="W40" s="132"/>
      <c r="X40" s="132"/>
    </row>
    <row r="41">
      <c r="A41" s="183" t="s">
        <v>269</v>
      </c>
      <c r="B41" s="62">
        <f>540-370+100</f>
        <v>270</v>
      </c>
      <c r="C41" s="187">
        <v>360.0</v>
      </c>
      <c r="D41" s="62">
        <f>277+150</f>
        <v>427</v>
      </c>
      <c r="E41" s="185">
        <f t="shared" si="5"/>
        <v>630</v>
      </c>
      <c r="F41" s="174">
        <f t="shared" si="6"/>
        <v>0.6777777778</v>
      </c>
      <c r="H41" s="150"/>
      <c r="K41" s="38"/>
      <c r="L41" s="131"/>
      <c r="M41" s="150"/>
      <c r="O41" s="38"/>
      <c r="Q41" s="176" t="s">
        <v>260</v>
      </c>
      <c r="R41" s="177" t="s">
        <v>344</v>
      </c>
      <c r="S41" s="6"/>
      <c r="T41" s="154"/>
      <c r="U41" s="154"/>
      <c r="V41" s="154"/>
      <c r="W41" s="154"/>
      <c r="X41" s="154"/>
    </row>
    <row r="42">
      <c r="A42" s="183" t="s">
        <v>271</v>
      </c>
      <c r="B42" s="62">
        <f>402-250+100</f>
        <v>252</v>
      </c>
      <c r="C42" s="187">
        <v>370.0</v>
      </c>
      <c r="D42" s="62">
        <f>262+150</f>
        <v>412</v>
      </c>
      <c r="E42" s="185">
        <f t="shared" si="5"/>
        <v>622</v>
      </c>
      <c r="F42" s="174">
        <f t="shared" si="6"/>
        <v>0.6623794212</v>
      </c>
      <c r="H42" s="150"/>
      <c r="K42" s="38"/>
      <c r="L42" s="131"/>
      <c r="M42" s="150"/>
      <c r="O42" s="38"/>
      <c r="Q42" s="160"/>
      <c r="R42" s="150"/>
      <c r="S42" s="38"/>
      <c r="T42" s="154"/>
      <c r="U42" s="154"/>
      <c r="V42" s="154"/>
      <c r="W42" s="154"/>
      <c r="X42" s="154"/>
    </row>
    <row r="43">
      <c r="A43" s="183" t="s">
        <v>272</v>
      </c>
      <c r="B43" s="62">
        <f>310-200+100</f>
        <v>210</v>
      </c>
      <c r="C43" s="187">
        <v>380.0</v>
      </c>
      <c r="D43" s="62">
        <f>228+150</f>
        <v>378</v>
      </c>
      <c r="E43" s="185">
        <f t="shared" si="5"/>
        <v>590</v>
      </c>
      <c r="F43" s="174">
        <f t="shared" si="6"/>
        <v>0.6406779661</v>
      </c>
      <c r="H43" s="150"/>
      <c r="K43" s="38"/>
      <c r="L43" s="131"/>
      <c r="M43" s="150"/>
      <c r="O43" s="38"/>
      <c r="Q43" s="160"/>
      <c r="R43" s="150"/>
      <c r="S43" s="38"/>
      <c r="T43" s="154"/>
      <c r="U43" s="154"/>
      <c r="V43" s="154"/>
      <c r="W43" s="154"/>
      <c r="X43" s="154"/>
    </row>
    <row r="44">
      <c r="A44" s="183" t="s">
        <v>273</v>
      </c>
      <c r="B44" s="187">
        <f>90+100</f>
        <v>190</v>
      </c>
      <c r="C44" s="187">
        <v>520.0</v>
      </c>
      <c r="D44" s="62">
        <f>209+150</f>
        <v>359</v>
      </c>
      <c r="E44" s="185">
        <f t="shared" si="5"/>
        <v>710</v>
      </c>
      <c r="F44" s="174">
        <f t="shared" si="6"/>
        <v>0.5056338028</v>
      </c>
      <c r="H44" s="150"/>
      <c r="K44" s="38"/>
      <c r="L44" s="131"/>
      <c r="M44" s="150"/>
      <c r="O44" s="38"/>
      <c r="P44" s="179"/>
      <c r="Q44" s="160"/>
      <c r="R44" s="150"/>
      <c r="S44" s="38"/>
      <c r="T44" s="154"/>
      <c r="U44" s="154"/>
      <c r="V44" s="154"/>
      <c r="W44" s="154"/>
      <c r="X44" s="154"/>
    </row>
    <row r="45">
      <c r="A45" s="183" t="s">
        <v>274</v>
      </c>
      <c r="B45" s="187">
        <f>65+100</f>
        <v>165</v>
      </c>
      <c r="C45" s="187">
        <v>650.0</v>
      </c>
      <c r="D45" s="62">
        <f>156+150</f>
        <v>306</v>
      </c>
      <c r="E45" s="185">
        <f t="shared" si="5"/>
        <v>815</v>
      </c>
      <c r="F45" s="174">
        <f t="shared" si="6"/>
        <v>0.3754601227</v>
      </c>
      <c r="H45" s="150"/>
      <c r="K45" s="38"/>
      <c r="L45" s="131"/>
      <c r="M45" s="150"/>
      <c r="O45" s="38"/>
      <c r="P45" s="179"/>
      <c r="Q45" s="160"/>
      <c r="R45" s="150"/>
      <c r="S45" s="38"/>
      <c r="T45" s="154"/>
      <c r="U45" s="154"/>
      <c r="V45" s="154"/>
      <c r="W45" s="154"/>
      <c r="X45" s="154"/>
    </row>
    <row r="46">
      <c r="A46" s="183" t="s">
        <v>275</v>
      </c>
      <c r="B46" s="187">
        <f>30+100</f>
        <v>130</v>
      </c>
      <c r="C46" s="187">
        <v>874.0</v>
      </c>
      <c r="D46" s="62">
        <f>137+150</f>
        <v>287</v>
      </c>
      <c r="E46" s="185">
        <f t="shared" si="5"/>
        <v>1004</v>
      </c>
      <c r="F46" s="174">
        <f t="shared" si="6"/>
        <v>0.2858565737</v>
      </c>
      <c r="H46" s="7"/>
      <c r="I46" s="8"/>
      <c r="J46" s="8"/>
      <c r="K46" s="9"/>
      <c r="L46" s="131"/>
      <c r="M46" s="7"/>
      <c r="N46" s="8"/>
      <c r="O46" s="9"/>
      <c r="P46" s="179"/>
      <c r="Q46" s="163"/>
      <c r="R46" s="7"/>
      <c r="S46" s="9"/>
      <c r="T46" s="154"/>
      <c r="U46" s="154"/>
      <c r="V46" s="154"/>
      <c r="W46" s="154"/>
      <c r="X46" s="154"/>
    </row>
    <row r="47">
      <c r="A47" s="194"/>
    </row>
    <row r="48">
      <c r="A48" s="194"/>
      <c r="R48" s="189" t="s">
        <v>281</v>
      </c>
      <c r="S48" s="189" t="s">
        <v>282</v>
      </c>
      <c r="T48" s="189"/>
      <c r="U48" s="189"/>
      <c r="V48" s="189"/>
      <c r="W48" s="189"/>
      <c r="X48" s="189"/>
    </row>
    <row r="49">
      <c r="A49" s="194"/>
      <c r="B49" s="175"/>
      <c r="C49" s="175"/>
      <c r="D49" s="169"/>
      <c r="E49" s="197"/>
      <c r="F49" s="198"/>
      <c r="P49" s="152" t="s">
        <v>345</v>
      </c>
      <c r="Q49" s="6"/>
      <c r="R49" s="190" t="s">
        <v>346</v>
      </c>
      <c r="S49" s="190" t="s">
        <v>347</v>
      </c>
      <c r="T49" s="191"/>
      <c r="U49" s="191"/>
      <c r="V49" s="191"/>
      <c r="W49" s="191"/>
      <c r="X49" s="191"/>
    </row>
    <row r="50">
      <c r="A50" s="194"/>
      <c r="B50" s="175"/>
      <c r="C50" s="199"/>
      <c r="D50" s="175"/>
      <c r="E50" s="197"/>
      <c r="F50" s="198"/>
      <c r="P50" s="150"/>
      <c r="Q50" s="38"/>
      <c r="R50" s="160"/>
      <c r="S50" s="160"/>
      <c r="T50" s="191"/>
      <c r="U50" s="191"/>
      <c r="V50" s="191"/>
      <c r="W50" s="191"/>
      <c r="X50" s="191"/>
    </row>
    <row r="51">
      <c r="A51" s="194"/>
      <c r="B51" s="175"/>
      <c r="C51" s="199"/>
      <c r="D51" s="175"/>
      <c r="E51" s="197"/>
      <c r="F51" s="198"/>
      <c r="P51" s="150"/>
      <c r="Q51" s="38"/>
      <c r="R51" s="160"/>
      <c r="S51" s="160"/>
      <c r="T51" s="191"/>
      <c r="U51" s="191"/>
      <c r="V51" s="191"/>
      <c r="W51" s="191"/>
      <c r="X51" s="191"/>
    </row>
    <row r="52">
      <c r="A52" s="194"/>
      <c r="B52" s="175"/>
      <c r="C52" s="199"/>
      <c r="D52" s="175"/>
      <c r="E52" s="197"/>
      <c r="F52" s="198"/>
      <c r="P52" s="150"/>
      <c r="Q52" s="38"/>
      <c r="R52" s="160"/>
      <c r="S52" s="160"/>
      <c r="T52" s="191"/>
      <c r="U52" s="191"/>
      <c r="V52" s="191"/>
      <c r="W52" s="191"/>
      <c r="X52" s="191"/>
    </row>
    <row r="53">
      <c r="A53" s="194"/>
      <c r="B53" s="199"/>
      <c r="C53" s="199"/>
      <c r="D53" s="175"/>
      <c r="E53" s="197"/>
      <c r="F53" s="198"/>
      <c r="P53" s="150"/>
      <c r="Q53" s="38"/>
      <c r="R53" s="160"/>
      <c r="S53" s="160"/>
      <c r="T53" s="191"/>
      <c r="U53" s="191"/>
      <c r="V53" s="191"/>
      <c r="W53" s="191"/>
      <c r="X53" s="191"/>
    </row>
    <row r="54">
      <c r="A54" s="194"/>
      <c r="B54" s="199"/>
      <c r="C54" s="199"/>
      <c r="D54" s="175"/>
      <c r="E54" s="197"/>
      <c r="F54" s="198"/>
      <c r="P54" s="7"/>
      <c r="Q54" s="9"/>
      <c r="R54" s="163"/>
      <c r="S54" s="163"/>
      <c r="T54" s="191"/>
      <c r="U54" s="191"/>
      <c r="V54" s="191"/>
      <c r="W54" s="191"/>
      <c r="X54" s="191"/>
    </row>
    <row r="55">
      <c r="A55" s="194"/>
      <c r="B55" s="199"/>
      <c r="C55" s="199"/>
      <c r="D55" s="175"/>
      <c r="E55" s="197"/>
      <c r="F55" s="198"/>
      <c r="Q55" s="132"/>
      <c r="R55" s="132"/>
      <c r="S55" s="132"/>
      <c r="T55" s="132"/>
      <c r="U55" s="132"/>
      <c r="V55" s="132"/>
      <c r="W55" s="132"/>
      <c r="X55" s="132"/>
    </row>
    <row r="56">
      <c r="A56" s="194"/>
      <c r="Q56" s="132"/>
      <c r="R56" s="132"/>
      <c r="S56" s="132"/>
      <c r="T56" s="132"/>
      <c r="U56" s="132"/>
      <c r="V56" s="132"/>
      <c r="W56" s="132"/>
      <c r="X56" s="132"/>
    </row>
    <row r="57">
      <c r="A57" s="194"/>
      <c r="Q57" s="176" t="s">
        <v>348</v>
      </c>
      <c r="R57" s="177" t="s">
        <v>349</v>
      </c>
      <c r="S57" s="6"/>
      <c r="T57" s="154"/>
      <c r="U57" s="154"/>
      <c r="V57" s="154"/>
      <c r="W57" s="154"/>
      <c r="X57" s="154"/>
    </row>
    <row r="58">
      <c r="A58" s="194"/>
      <c r="Q58" s="160"/>
      <c r="R58" s="150"/>
      <c r="S58" s="38"/>
      <c r="T58" s="154"/>
      <c r="U58" s="154"/>
      <c r="V58" s="154"/>
      <c r="W58" s="154"/>
      <c r="X58" s="154"/>
    </row>
    <row r="59">
      <c r="A59" s="194"/>
      <c r="Q59" s="160"/>
      <c r="R59" s="150"/>
      <c r="S59" s="38"/>
      <c r="T59" s="154"/>
      <c r="U59" s="154"/>
      <c r="V59" s="154"/>
      <c r="W59" s="154"/>
      <c r="X59" s="154"/>
    </row>
    <row r="60">
      <c r="A60" s="194"/>
      <c r="Q60" s="160"/>
      <c r="R60" s="150"/>
      <c r="S60" s="38"/>
      <c r="T60" s="154"/>
      <c r="U60" s="154"/>
      <c r="V60" s="154"/>
      <c r="W60" s="154"/>
      <c r="X60" s="154"/>
    </row>
    <row r="61">
      <c r="A61" s="194"/>
      <c r="Q61" s="160"/>
      <c r="R61" s="150"/>
      <c r="S61" s="38"/>
      <c r="T61" s="154"/>
      <c r="U61" s="154"/>
      <c r="V61" s="154"/>
      <c r="W61" s="154"/>
      <c r="X61" s="154"/>
    </row>
    <row r="62">
      <c r="A62" s="194"/>
      <c r="Q62" s="163"/>
      <c r="R62" s="7"/>
      <c r="S62" s="9"/>
      <c r="T62" s="154"/>
      <c r="U62" s="154"/>
      <c r="V62" s="154"/>
      <c r="W62" s="154"/>
      <c r="X62" s="154"/>
    </row>
  </sheetData>
  <mergeCells count="43">
    <mergeCell ref="R49:R54"/>
    <mergeCell ref="S49:S54"/>
    <mergeCell ref="Q57:Q62"/>
    <mergeCell ref="R57:S62"/>
    <mergeCell ref="Q17:Q22"/>
    <mergeCell ref="Q29:Q34"/>
    <mergeCell ref="Q37:R39"/>
    <mergeCell ref="S37:S39"/>
    <mergeCell ref="Q41:Q46"/>
    <mergeCell ref="R41:S46"/>
    <mergeCell ref="P49:Q54"/>
    <mergeCell ref="A1:S1"/>
    <mergeCell ref="A2:J2"/>
    <mergeCell ref="A3:J3"/>
    <mergeCell ref="A4:J4"/>
    <mergeCell ref="A5:J5"/>
    <mergeCell ref="A6:J6"/>
    <mergeCell ref="A7:J7"/>
    <mergeCell ref="B14:F14"/>
    <mergeCell ref="A24:F24"/>
    <mergeCell ref="A13:F13"/>
    <mergeCell ref="A25:F25"/>
    <mergeCell ref="M13:O22"/>
    <mergeCell ref="Q13:R15"/>
    <mergeCell ref="S13:S15"/>
    <mergeCell ref="R17:S22"/>
    <mergeCell ref="M25:O34"/>
    <mergeCell ref="Q25:R27"/>
    <mergeCell ref="S25:S27"/>
    <mergeCell ref="R29:S34"/>
    <mergeCell ref="B26:F26"/>
    <mergeCell ref="A36:F36"/>
    <mergeCell ref="H36:K46"/>
    <mergeCell ref="A37:F37"/>
    <mergeCell ref="M37:O46"/>
    <mergeCell ref="B38:F38"/>
    <mergeCell ref="A8:J8"/>
    <mergeCell ref="A9:J9"/>
    <mergeCell ref="A10:J10"/>
    <mergeCell ref="A11:I11"/>
    <mergeCell ref="A12:F12"/>
    <mergeCell ref="H12:K22"/>
    <mergeCell ref="H24:K34"/>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2.75"/>
    <col customWidth="1" min="2" max="3" width="49.63"/>
    <col customWidth="1" min="4" max="4" width="69.75"/>
  </cols>
  <sheetData>
    <row r="1">
      <c r="A1" s="115" t="s">
        <v>20</v>
      </c>
      <c r="B1" s="3"/>
      <c r="C1" s="200"/>
      <c r="D1" s="201" t="s">
        <v>350</v>
      </c>
    </row>
    <row r="2">
      <c r="A2" s="116" t="s">
        <v>351</v>
      </c>
      <c r="B2" s="3"/>
      <c r="C2" s="130"/>
      <c r="D2" s="202" t="str">
        <f>'Tab 3 - Activation Hypothesis'!A17</f>
        <v>Moment that lead to Habit:</v>
      </c>
    </row>
    <row r="3">
      <c r="A3" s="120" t="s">
        <v>352</v>
      </c>
      <c r="B3" s="38"/>
      <c r="C3" s="120"/>
      <c r="D3" s="203" t="str">
        <f>CONCATENATE('Tab 3 - Activation Hypothesis'!A18," ",'Tab 3 - Activation Hypothesis'!B18)</f>
        <v>1 Only use Slack, not email, for internal messages</v>
      </c>
    </row>
    <row r="4">
      <c r="A4" s="130"/>
      <c r="B4" s="130"/>
      <c r="C4" s="130"/>
      <c r="D4" s="203" t="str">
        <f>CONCATENATE('Tab 3 - Activation Hypothesis'!A19," ",'Tab 3 - Activation Hypothesis'!B19)</f>
        <v>2 checking tagged messages in a group chat</v>
      </c>
    </row>
    <row r="5">
      <c r="A5" s="41" t="s">
        <v>353</v>
      </c>
      <c r="B5" s="9"/>
      <c r="C5" s="130"/>
      <c r="D5" s="203" t="str">
        <f>CONCATENATE('Tab 3 - Activation Hypothesis'!A20," ",'Tab 3 - Activation Hypothesis'!B20)</f>
        <v>3 message anyone from the team without the need for an email address</v>
      </c>
    </row>
    <row r="6">
      <c r="A6" s="119" t="s">
        <v>354</v>
      </c>
      <c r="B6" s="3"/>
      <c r="C6" s="204"/>
      <c r="D6" s="203" t="str">
        <f>CONCATENATE('Tab 3 - Activation Hypothesis'!A21," ",'Tab 3 - Activation Hypothesis'!B21)</f>
        <v>4 Learn about your teammates (from other departements) by consulting their profiles and even getting their phone number when possible</v>
      </c>
    </row>
    <row r="7">
      <c r="A7" s="205" t="s">
        <v>355</v>
      </c>
      <c r="B7" s="3"/>
      <c r="C7" s="134"/>
      <c r="D7" s="203" t="str">
        <f>CONCATENATE('Tab 3 - Activation Hypothesis'!A22," ",'Tab 3 - Activation Hypothesis'!B22)</f>
        <v>5 Sign in and stay active in multiple workspaces</v>
      </c>
    </row>
    <row r="8">
      <c r="A8" s="205" t="s">
        <v>356</v>
      </c>
      <c r="B8" s="3"/>
      <c r="C8" s="134"/>
      <c r="D8" s="202" t="str">
        <f>'Tab 3 - Activation Hypothesis'!A23</f>
        <v>Moment that lead to Aha:</v>
      </c>
    </row>
    <row r="9">
      <c r="A9" s="205" t="s">
        <v>357</v>
      </c>
      <c r="B9" s="3"/>
      <c r="C9" s="134"/>
      <c r="D9" s="203" t="str">
        <f>CONCATENATE('Tab 3 - Activation Hypothesis'!A24," ",'Tab 3 - Activation Hypothesis'!B24)</f>
        <v>1 Getting notifications from team on a group channel</v>
      </c>
    </row>
    <row r="10">
      <c r="A10" s="206" t="s">
        <v>358</v>
      </c>
      <c r="C10" s="145"/>
      <c r="D10" s="203" t="str">
        <f>CONCATENATE('Tab 3 - Activation Hypothesis'!A25," ",'Tab 3 - Activation Hypothesis'!B25)</f>
        <v>2 Stay connected and up to date by installing the phone app as well as the website</v>
      </c>
    </row>
    <row r="11">
      <c r="A11" s="207" t="s">
        <v>219</v>
      </c>
      <c r="B11" s="207" t="s">
        <v>359</v>
      </c>
      <c r="C11" s="207" t="s">
        <v>360</v>
      </c>
      <c r="D11" s="203" t="str">
        <f>CONCATENATE('Tab 3 - Activation Hypothesis'!A26," ",'Tab 3 - Activation Hypothesis'!B26)</f>
        <v>3 Find other general workspaces, not only those related to your company, and engage with the community that you like</v>
      </c>
    </row>
    <row r="12" ht="54.75" customHeight="1">
      <c r="A12" s="208" t="str">
        <f>'Tab 4 - Habit Moment and Metric'!R51</f>
        <v> look for a communication tool outside of email to engage with teammates                                        </v>
      </c>
      <c r="B12" s="209" t="str">
        <f>'Tab 4 - Habit Moment and Metric'!S51</f>
        <v># of Team Slack Messages Sent in 7-days
(sending 20000 messages)</v>
      </c>
      <c r="C12" s="210" t="s">
        <v>361</v>
      </c>
      <c r="D12" s="203" t="str">
        <f>CONCATENATE('Tab 3 - Activation Hypothesis'!A27," ",'Tab 3 - Activation Hypothesis'!B27)</f>
        <v>4 Use direct channel to communicate with a cpecific team member</v>
      </c>
    </row>
    <row r="13">
      <c r="A13" s="207" t="s">
        <v>225</v>
      </c>
      <c r="B13" s="207" t="s">
        <v>362</v>
      </c>
      <c r="C13" s="207"/>
      <c r="D13" s="203" t="str">
        <f>CONCATENATE('Tab 3 - Activation Hypothesis'!A28," ",'Tab 3 - Activation Hypothesis'!B28)</f>
        <v>5 Getting access to documents and files that have been saved before</v>
      </c>
    </row>
    <row r="14" ht="72.0" customHeight="1">
      <c r="A14" s="208" t="str">
        <f>'Tab 5 - Aha Moment and Metric A'!R50</f>
        <v>Messaging with a team member on a direct channel</v>
      </c>
      <c r="B14" s="209" t="str">
        <f>'Tab 5 - Aha Moment and Metric A'!S50</f>
        <v>sends 1st direct message within X days 
(Send the 1st direct message within the (1+) days)</v>
      </c>
      <c r="C14" s="210" t="s">
        <v>361</v>
      </c>
      <c r="D14" s="211" t="str">
        <f>'Tab 3 - Activation Hypothesis'!A29</f>
        <v>Moment that lead to Setup:</v>
      </c>
    </row>
    <row r="15">
      <c r="A15" s="207" t="s">
        <v>363</v>
      </c>
      <c r="B15" s="207" t="s">
        <v>364</v>
      </c>
      <c r="C15" s="207"/>
      <c r="D15" s="203" t="str">
        <f>CONCATENATE('Tab 3 - Activation Hypothesis'!A30," ",'Tab 3 - Activation Hypothesis'!B30)</f>
        <v>1 Engage in a frequency faster than email while being mobile</v>
      </c>
    </row>
    <row r="16" ht="75.0" customHeight="1">
      <c r="A16" s="208" t="str">
        <f>'Tab 6 - Setup Moment and Metric'!R49</f>
        <v>Setup Moment 3: Invite a team mate and had a back-and-forth direct convo</v>
      </c>
      <c r="B16" s="212" t="str">
        <f>'Tab 6 - Setup Moment and Metric'!S49</f>
        <v>Setup Metric 3: # of users invited within 7-days 
(Inviting a teammate within the (1+) days)</v>
      </c>
      <c r="C16" s="210" t="s">
        <v>361</v>
      </c>
      <c r="D16" s="203" t="str">
        <f>CONCATENATE('Tab 3 - Activation Hypothesis'!A31," ",'Tab 3 - Activation Hypothesis'!B31)</f>
        <v>2 Create your own workspace or even a new channel within a workspace</v>
      </c>
    </row>
    <row r="17" ht="21.75" customHeight="1">
      <c r="A17" s="213"/>
      <c r="B17" s="213"/>
      <c r="C17" s="213"/>
      <c r="D17" s="203" t="str">
        <f>CONCATENATE('Tab 3 - Activation Hypothesis'!A32," ",'Tab 3 - Activation Hypothesis'!B32)</f>
        <v>3 Integrate a third party app</v>
      </c>
    </row>
    <row r="18" ht="21.75" customHeight="1">
      <c r="A18" s="213"/>
      <c r="B18" s="213"/>
      <c r="C18" s="213"/>
      <c r="D18" s="203" t="str">
        <f>CONCATENATE('Tab 3 - Activation Hypothesis'!A33," ",'Tab 3 - Activation Hypothesis'!B33)</f>
        <v>4 invite a team member</v>
      </c>
    </row>
    <row r="19" ht="21.75" customHeight="1">
      <c r="A19" s="213"/>
      <c r="B19" s="213"/>
      <c r="C19" s="213"/>
      <c r="D19" s="203" t="str">
        <f>CONCATENATE('Tab 3 - Activation Hypothesis'!A34," ",'Tab 3 - Activation Hypothesis'!B34)</f>
        <v>5 Set up the profile by adding more information, like phone number, etc.</v>
      </c>
    </row>
  </sheetData>
  <mergeCells count="9">
    <mergeCell ref="A9:B9"/>
    <mergeCell ref="A10:B10"/>
    <mergeCell ref="A1:B1"/>
    <mergeCell ref="A2:B2"/>
    <mergeCell ref="A3:B3"/>
    <mergeCell ref="A5:B5"/>
    <mergeCell ref="A6:B6"/>
    <mergeCell ref="A7:B7"/>
    <mergeCell ref="A8:B8"/>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6.25"/>
    <col customWidth="1" min="2" max="2" width="9.63"/>
    <col customWidth="1" min="3" max="3" width="22.88"/>
    <col customWidth="1" min="4" max="4" width="17.63"/>
    <col customWidth="1" min="5" max="5" width="15.75"/>
    <col customWidth="1" min="6" max="6" width="17.63"/>
    <col customWidth="1" min="7" max="7" width="12.75"/>
  </cols>
  <sheetData>
    <row r="1">
      <c r="A1" s="115" t="s">
        <v>22</v>
      </c>
      <c r="B1" s="2"/>
      <c r="C1" s="2"/>
      <c r="D1" s="2"/>
      <c r="E1" s="2"/>
      <c r="F1" s="2"/>
      <c r="G1" s="2"/>
      <c r="H1" s="2"/>
      <c r="I1" s="2"/>
      <c r="J1" s="2"/>
      <c r="K1" s="2"/>
      <c r="L1" s="2"/>
      <c r="M1" s="2"/>
      <c r="N1" s="3"/>
    </row>
    <row r="2">
      <c r="A2" s="116" t="s">
        <v>365</v>
      </c>
      <c r="B2" s="2"/>
      <c r="C2" s="2"/>
      <c r="D2" s="2"/>
      <c r="E2" s="2"/>
      <c r="F2" s="2"/>
      <c r="G2" s="2"/>
      <c r="H2" s="2"/>
      <c r="I2" s="2"/>
      <c r="J2" s="3"/>
      <c r="M2" s="214"/>
      <c r="N2" s="214"/>
    </row>
    <row r="3">
      <c r="A3" s="11" t="s">
        <v>366</v>
      </c>
      <c r="B3" s="8"/>
      <c r="C3" s="8"/>
      <c r="D3" s="8"/>
      <c r="E3" s="8"/>
      <c r="F3" s="8"/>
      <c r="G3" s="8"/>
      <c r="H3" s="8"/>
      <c r="I3" s="8"/>
      <c r="J3" s="9"/>
      <c r="M3" s="214"/>
      <c r="N3" s="214"/>
    </row>
    <row r="4">
      <c r="A4" s="11" t="s">
        <v>367</v>
      </c>
      <c r="B4" s="8"/>
      <c r="C4" s="8"/>
      <c r="D4" s="8"/>
      <c r="E4" s="8"/>
      <c r="F4" s="8"/>
      <c r="G4" s="8"/>
      <c r="H4" s="8"/>
      <c r="I4" s="8"/>
      <c r="J4" s="9"/>
      <c r="M4" s="214"/>
      <c r="N4" s="214"/>
    </row>
    <row r="5">
      <c r="A5" s="11" t="s">
        <v>368</v>
      </c>
      <c r="B5" s="8"/>
      <c r="C5" s="8"/>
      <c r="D5" s="8"/>
      <c r="E5" s="8"/>
      <c r="F5" s="8"/>
      <c r="G5" s="8"/>
      <c r="H5" s="8"/>
      <c r="I5" s="8"/>
      <c r="J5" s="9"/>
      <c r="M5" s="214"/>
      <c r="N5" s="214"/>
    </row>
    <row r="6">
      <c r="A6" s="116" t="s">
        <v>369</v>
      </c>
      <c r="B6" s="2"/>
      <c r="C6" s="2"/>
      <c r="D6" s="2"/>
      <c r="E6" s="2"/>
      <c r="F6" s="2"/>
      <c r="G6" s="2"/>
      <c r="H6" s="2"/>
      <c r="I6" s="2"/>
      <c r="J6" s="3"/>
      <c r="M6" s="214"/>
      <c r="N6" s="214"/>
    </row>
    <row r="7">
      <c r="A7" s="119" t="s">
        <v>370</v>
      </c>
      <c r="B7" s="2"/>
      <c r="C7" s="2"/>
      <c r="D7" s="2"/>
      <c r="E7" s="2"/>
      <c r="F7" s="2"/>
      <c r="G7" s="2"/>
      <c r="H7" s="2"/>
      <c r="I7" s="2"/>
      <c r="J7" s="3"/>
      <c r="M7" s="214"/>
      <c r="N7" s="214"/>
    </row>
    <row r="8">
      <c r="A8" s="117" t="s">
        <v>371</v>
      </c>
      <c r="B8" s="2"/>
      <c r="C8" s="2"/>
      <c r="D8" s="2"/>
      <c r="E8" s="2"/>
      <c r="F8" s="2"/>
      <c r="G8" s="2"/>
      <c r="H8" s="2"/>
      <c r="I8" s="2"/>
      <c r="J8" s="3"/>
      <c r="M8" s="214"/>
      <c r="N8" s="214"/>
    </row>
    <row r="9">
      <c r="A9" s="117" t="s">
        <v>372</v>
      </c>
      <c r="B9" s="2"/>
      <c r="C9" s="2"/>
      <c r="D9" s="2"/>
      <c r="E9" s="2"/>
      <c r="F9" s="2"/>
      <c r="G9" s="2"/>
      <c r="H9" s="2"/>
      <c r="I9" s="2"/>
      <c r="J9" s="3"/>
      <c r="M9" s="214"/>
      <c r="N9" s="214"/>
    </row>
    <row r="10">
      <c r="A10" s="193" t="s">
        <v>373</v>
      </c>
      <c r="B10" s="2"/>
      <c r="C10" s="2"/>
      <c r="D10" s="2"/>
      <c r="E10" s="2"/>
      <c r="F10" s="2"/>
      <c r="G10" s="2"/>
      <c r="H10" s="2"/>
      <c r="I10" s="2"/>
      <c r="J10" s="3"/>
      <c r="M10" s="214"/>
      <c r="N10" s="214"/>
    </row>
    <row r="11">
      <c r="A11" s="193" t="s">
        <v>374</v>
      </c>
      <c r="B11" s="2"/>
      <c r="C11" s="2"/>
      <c r="D11" s="2"/>
      <c r="E11" s="2"/>
      <c r="F11" s="2"/>
      <c r="G11" s="2"/>
      <c r="H11" s="2"/>
      <c r="I11" s="2"/>
      <c r="J11" s="3"/>
      <c r="M11" s="214"/>
      <c r="N11" s="214"/>
    </row>
    <row r="12">
      <c r="A12" s="193" t="s">
        <v>375</v>
      </c>
      <c r="B12" s="2"/>
      <c r="C12" s="2"/>
      <c r="D12" s="2"/>
      <c r="E12" s="2"/>
      <c r="F12" s="2"/>
      <c r="G12" s="2"/>
      <c r="H12" s="2"/>
      <c r="I12" s="2"/>
      <c r="J12" s="3"/>
      <c r="M12" s="214"/>
      <c r="N12" s="214"/>
    </row>
    <row r="13">
      <c r="A13" s="193" t="s">
        <v>376</v>
      </c>
      <c r="B13" s="2"/>
      <c r="C13" s="2"/>
      <c r="D13" s="2"/>
      <c r="E13" s="2"/>
      <c r="F13" s="2"/>
      <c r="G13" s="2"/>
      <c r="H13" s="2"/>
      <c r="I13" s="2"/>
      <c r="J13" s="3"/>
      <c r="M13" s="214"/>
      <c r="N13" s="214"/>
    </row>
    <row r="14">
      <c r="A14" s="193" t="s">
        <v>377</v>
      </c>
      <c r="B14" s="2"/>
      <c r="C14" s="2"/>
      <c r="D14" s="2"/>
      <c r="E14" s="2"/>
      <c r="F14" s="2"/>
      <c r="G14" s="2"/>
      <c r="H14" s="2"/>
      <c r="I14" s="2"/>
      <c r="J14" s="3"/>
      <c r="M14" s="214"/>
      <c r="N14" s="214"/>
    </row>
    <row r="15">
      <c r="A15" s="215" t="s">
        <v>378</v>
      </c>
      <c r="K15" s="145"/>
      <c r="L15" s="214"/>
      <c r="M15" s="214"/>
      <c r="N15" s="214"/>
    </row>
    <row r="16">
      <c r="A16" s="216" t="s">
        <v>379</v>
      </c>
      <c r="B16" s="2"/>
      <c r="C16" s="2"/>
      <c r="D16" s="2"/>
      <c r="E16" s="2"/>
      <c r="F16" s="2"/>
      <c r="G16" s="2"/>
      <c r="H16" s="2"/>
      <c r="I16" s="3"/>
      <c r="J16" s="217"/>
      <c r="K16" s="217" t="s">
        <v>69</v>
      </c>
    </row>
    <row r="17">
      <c r="A17" s="218" t="s">
        <v>380</v>
      </c>
      <c r="B17" s="218" t="s">
        <v>381</v>
      </c>
      <c r="C17" s="219" t="s">
        <v>20</v>
      </c>
      <c r="D17" s="2"/>
      <c r="E17" s="2"/>
      <c r="F17" s="2"/>
      <c r="G17" s="3"/>
      <c r="H17" s="220" t="s">
        <v>382</v>
      </c>
      <c r="I17" s="221" t="s">
        <v>383</v>
      </c>
      <c r="J17" s="217"/>
    </row>
    <row r="18">
      <c r="A18" s="222" t="s">
        <v>384</v>
      </c>
      <c r="B18" s="223">
        <f>sum(B19:B26)</f>
        <v>920.6</v>
      </c>
      <c r="C18" s="224" t="s">
        <v>385</v>
      </c>
      <c r="D18" s="224" t="s">
        <v>386</v>
      </c>
      <c r="E18" s="224" t="s">
        <v>387</v>
      </c>
      <c r="F18" s="224" t="s">
        <v>388</v>
      </c>
      <c r="G18" s="224" t="s">
        <v>389</v>
      </c>
      <c r="H18" s="163"/>
      <c r="I18" s="163"/>
      <c r="J18" s="217"/>
      <c r="K18" s="225"/>
      <c r="L18" s="5"/>
      <c r="M18" s="5"/>
      <c r="N18" s="6"/>
    </row>
    <row r="19">
      <c r="A19" s="226" t="s">
        <v>390</v>
      </c>
      <c r="B19" s="227">
        <f>310*0.9</f>
        <v>279</v>
      </c>
      <c r="C19" s="228">
        <v>0.85</v>
      </c>
      <c r="D19" s="229">
        <f t="shared" ref="D19:D26" si="1">E19/C19</f>
        <v>0.9176470588</v>
      </c>
      <c r="E19" s="230">
        <v>0.78</v>
      </c>
      <c r="F19" s="229">
        <v>0.87</v>
      </c>
      <c r="G19" s="231">
        <v>0.68</v>
      </c>
      <c r="H19" s="232">
        <v>126.0</v>
      </c>
      <c r="I19" s="233">
        <f t="shared" ref="I19:I26" si="2">H19/B19</f>
        <v>0.4516129032</v>
      </c>
      <c r="J19" s="217"/>
      <c r="K19" s="150"/>
      <c r="N19" s="38"/>
    </row>
    <row r="20">
      <c r="A20" s="226" t="s">
        <v>391</v>
      </c>
      <c r="B20" s="227">
        <f>206*0.8</f>
        <v>164.8</v>
      </c>
      <c r="C20" s="234">
        <v>0.76</v>
      </c>
      <c r="D20" s="235">
        <f t="shared" si="1"/>
        <v>0.9078947368</v>
      </c>
      <c r="E20" s="236">
        <v>0.69</v>
      </c>
      <c r="F20" s="235">
        <f t="shared" ref="F20:F26" si="3">G20/E20</f>
        <v>0.9130434783</v>
      </c>
      <c r="G20" s="237">
        <v>0.63</v>
      </c>
      <c r="H20" s="238">
        <f t="shared" ref="H20:H26" si="4">B20*C20*E20*G20</f>
        <v>54.4453056</v>
      </c>
      <c r="I20" s="235">
        <f t="shared" si="2"/>
        <v>0.330372</v>
      </c>
      <c r="J20" s="217"/>
      <c r="K20" s="150"/>
      <c r="N20" s="38"/>
    </row>
    <row r="21">
      <c r="A21" s="226" t="s">
        <v>392</v>
      </c>
      <c r="B21" s="227">
        <f>172*0.8</f>
        <v>137.6</v>
      </c>
      <c r="C21" s="239">
        <v>0.8</v>
      </c>
      <c r="D21" s="235">
        <f t="shared" si="1"/>
        <v>0.95</v>
      </c>
      <c r="E21" s="234">
        <v>0.76</v>
      </c>
      <c r="F21" s="235">
        <f t="shared" si="3"/>
        <v>0.9210526316</v>
      </c>
      <c r="G21" s="240">
        <v>0.7</v>
      </c>
      <c r="H21" s="238">
        <f t="shared" si="4"/>
        <v>58.56256</v>
      </c>
      <c r="I21" s="235">
        <f t="shared" si="2"/>
        <v>0.4256</v>
      </c>
      <c r="J21" s="217"/>
      <c r="K21" s="150"/>
      <c r="N21" s="38"/>
    </row>
    <row r="22">
      <c r="A22" s="226" t="s">
        <v>393</v>
      </c>
      <c r="B22" s="227">
        <f>138*0.8</f>
        <v>110.4</v>
      </c>
      <c r="C22" s="234">
        <v>0.76</v>
      </c>
      <c r="D22" s="235">
        <f t="shared" si="1"/>
        <v>0.9078947368</v>
      </c>
      <c r="E22" s="236">
        <v>0.69</v>
      </c>
      <c r="F22" s="235">
        <f t="shared" si="3"/>
        <v>0.8695652174</v>
      </c>
      <c r="G22" s="241">
        <v>0.6</v>
      </c>
      <c r="H22" s="238">
        <f t="shared" si="4"/>
        <v>34.736256</v>
      </c>
      <c r="I22" s="235">
        <f t="shared" si="2"/>
        <v>0.31464</v>
      </c>
      <c r="J22" s="217"/>
      <c r="K22" s="150"/>
      <c r="N22" s="38"/>
    </row>
    <row r="23">
      <c r="A23" s="226" t="s">
        <v>394</v>
      </c>
      <c r="B23" s="227">
        <f>112*0.8</f>
        <v>89.6</v>
      </c>
      <c r="C23" s="239">
        <v>0.8</v>
      </c>
      <c r="D23" s="235">
        <f t="shared" si="1"/>
        <v>0.9375</v>
      </c>
      <c r="E23" s="242">
        <v>0.75</v>
      </c>
      <c r="F23" s="235">
        <f t="shared" si="3"/>
        <v>0.88</v>
      </c>
      <c r="G23" s="243">
        <v>0.66</v>
      </c>
      <c r="H23" s="238">
        <f t="shared" si="4"/>
        <v>35.4816</v>
      </c>
      <c r="I23" s="235">
        <f t="shared" si="2"/>
        <v>0.396</v>
      </c>
      <c r="J23" s="217"/>
      <c r="K23" s="150"/>
      <c r="N23" s="38"/>
    </row>
    <row r="24">
      <c r="A24" s="244" t="s">
        <v>395</v>
      </c>
      <c r="B24" s="227">
        <f>92*0.8</f>
        <v>73.6</v>
      </c>
      <c r="C24" s="240">
        <v>0.7</v>
      </c>
      <c r="D24" s="235">
        <f t="shared" si="1"/>
        <v>0.9322478992</v>
      </c>
      <c r="E24" s="245">
        <v>0.6525735294117647</v>
      </c>
      <c r="F24" s="235">
        <f t="shared" si="3"/>
        <v>0.8788732394</v>
      </c>
      <c r="G24" s="246">
        <v>0.5735294117647058</v>
      </c>
      <c r="H24" s="238">
        <f t="shared" si="4"/>
        <v>19.28239619</v>
      </c>
      <c r="I24" s="235">
        <f t="shared" si="2"/>
        <v>0.2619890787</v>
      </c>
      <c r="J24" s="217"/>
      <c r="K24" s="150"/>
      <c r="N24" s="38"/>
    </row>
    <row r="25">
      <c r="A25" s="226" t="s">
        <v>396</v>
      </c>
      <c r="B25" s="227">
        <f>58*0.8</f>
        <v>46.4</v>
      </c>
      <c r="C25" s="231">
        <v>0.68</v>
      </c>
      <c r="D25" s="235">
        <f t="shared" si="1"/>
        <v>0.8823529412</v>
      </c>
      <c r="E25" s="241">
        <v>0.6</v>
      </c>
      <c r="F25" s="235">
        <f t="shared" si="3"/>
        <v>0.9166666667</v>
      </c>
      <c r="G25" s="247">
        <v>0.55</v>
      </c>
      <c r="H25" s="238">
        <f t="shared" si="4"/>
        <v>10.41216</v>
      </c>
      <c r="I25" s="235">
        <f t="shared" si="2"/>
        <v>0.2244</v>
      </c>
      <c r="J25" s="217"/>
      <c r="K25" s="150"/>
      <c r="N25" s="38"/>
    </row>
    <row r="26">
      <c r="A26" s="226" t="s">
        <v>397</v>
      </c>
      <c r="B26" s="227">
        <f>24*0.8</f>
        <v>19.2</v>
      </c>
      <c r="C26" s="236">
        <v>0.69</v>
      </c>
      <c r="D26" s="235">
        <f t="shared" si="1"/>
        <v>0.9275362319</v>
      </c>
      <c r="E26" s="248">
        <v>0.64</v>
      </c>
      <c r="F26" s="235">
        <f t="shared" si="3"/>
        <v>0.9375</v>
      </c>
      <c r="G26" s="241">
        <v>0.6</v>
      </c>
      <c r="H26" s="238">
        <f t="shared" si="4"/>
        <v>5.087232</v>
      </c>
      <c r="I26" s="235">
        <f t="shared" si="2"/>
        <v>0.26496</v>
      </c>
      <c r="J26" s="217"/>
      <c r="K26" s="150"/>
      <c r="N26" s="38"/>
    </row>
    <row r="27">
      <c r="A27" s="249" t="s">
        <v>135</v>
      </c>
      <c r="B27" s="250">
        <f t="shared" ref="B27:I27" si="5">average(B19:B26)</f>
        <v>115.075</v>
      </c>
      <c r="C27" s="251">
        <f t="shared" si="5"/>
        <v>0.755</v>
      </c>
      <c r="D27" s="235">
        <f t="shared" si="5"/>
        <v>0.9203842006</v>
      </c>
      <c r="E27" s="251">
        <f t="shared" si="5"/>
        <v>0.6953216912</v>
      </c>
      <c r="F27" s="235">
        <f t="shared" si="5"/>
        <v>0.8983376542</v>
      </c>
      <c r="G27" s="251">
        <f t="shared" si="5"/>
        <v>0.6241911765</v>
      </c>
      <c r="H27" s="252">
        <f t="shared" si="5"/>
        <v>43.00093872</v>
      </c>
      <c r="I27" s="235">
        <f t="shared" si="5"/>
        <v>0.3336967477</v>
      </c>
      <c r="J27" s="217"/>
      <c r="K27" s="7"/>
      <c r="L27" s="8"/>
      <c r="M27" s="8"/>
      <c r="N27" s="9"/>
    </row>
    <row r="28">
      <c r="A28" s="214"/>
      <c r="B28" s="214"/>
      <c r="C28" s="214"/>
      <c r="D28" s="214"/>
      <c r="E28" s="214"/>
      <c r="F28" s="214"/>
      <c r="G28" s="214"/>
      <c r="H28" s="214"/>
      <c r="I28" s="214"/>
      <c r="J28" s="217"/>
      <c r="K28" s="214"/>
      <c r="L28" s="214"/>
      <c r="M28" s="214"/>
      <c r="N28" s="214"/>
    </row>
    <row r="29">
      <c r="A29" s="253" t="s">
        <v>398</v>
      </c>
      <c r="B29" s="6"/>
      <c r="C29" s="253" t="s">
        <v>399</v>
      </c>
      <c r="D29" s="6"/>
      <c r="E29" s="253" t="s">
        <v>400</v>
      </c>
      <c r="F29" s="6"/>
      <c r="G29" s="253" t="s">
        <v>401</v>
      </c>
      <c r="H29" s="5"/>
      <c r="I29" s="5"/>
      <c r="J29" s="5"/>
      <c r="K29" s="5"/>
      <c r="L29" s="5"/>
      <c r="M29" s="5"/>
      <c r="N29" s="6"/>
    </row>
    <row r="30">
      <c r="A30" s="7"/>
      <c r="B30" s="9"/>
      <c r="C30" s="7"/>
      <c r="D30" s="9"/>
      <c r="E30" s="7"/>
      <c r="F30" s="9"/>
      <c r="G30" s="7"/>
      <c r="H30" s="8"/>
      <c r="I30" s="8"/>
      <c r="J30" s="8"/>
      <c r="K30" s="8"/>
      <c r="L30" s="8"/>
      <c r="M30" s="8"/>
      <c r="N30" s="9"/>
    </row>
    <row r="31">
      <c r="A31" s="254" t="s">
        <v>402</v>
      </c>
      <c r="B31" s="6"/>
      <c r="C31" s="254" t="s">
        <v>403</v>
      </c>
      <c r="D31" s="6"/>
      <c r="E31" s="254" t="s">
        <v>404</v>
      </c>
      <c r="F31" s="6"/>
      <c r="G31" s="255" t="s">
        <v>405</v>
      </c>
      <c r="H31" s="5"/>
      <c r="I31" s="5"/>
      <c r="J31" s="5"/>
      <c r="K31" s="5"/>
      <c r="L31" s="5"/>
      <c r="M31" s="5"/>
      <c r="N31" s="6"/>
    </row>
    <row r="32">
      <c r="A32" s="150"/>
      <c r="B32" s="38"/>
      <c r="C32" s="150"/>
      <c r="D32" s="38"/>
      <c r="E32" s="150"/>
      <c r="F32" s="38"/>
      <c r="G32" s="150"/>
      <c r="N32" s="38"/>
    </row>
    <row r="33">
      <c r="A33" s="150"/>
      <c r="B33" s="38"/>
      <c r="C33" s="150"/>
      <c r="D33" s="38"/>
      <c r="E33" s="150"/>
      <c r="F33" s="38"/>
      <c r="G33" s="150"/>
      <c r="N33" s="38"/>
    </row>
    <row r="34">
      <c r="A34" s="150"/>
      <c r="B34" s="38"/>
      <c r="C34" s="150"/>
      <c r="D34" s="38"/>
      <c r="E34" s="150"/>
      <c r="F34" s="38"/>
      <c r="G34" s="150"/>
      <c r="N34" s="38"/>
    </row>
    <row r="35">
      <c r="A35" s="150"/>
      <c r="B35" s="38"/>
      <c r="C35" s="150"/>
      <c r="D35" s="38"/>
      <c r="E35" s="150"/>
      <c r="F35" s="38"/>
      <c r="G35" s="150"/>
      <c r="N35" s="38"/>
    </row>
    <row r="36" ht="42.0" customHeight="1">
      <c r="A36" s="7"/>
      <c r="B36" s="9"/>
      <c r="C36" s="7"/>
      <c r="D36" s="9"/>
      <c r="E36" s="7"/>
      <c r="F36" s="9"/>
      <c r="G36" s="7"/>
      <c r="H36" s="8"/>
      <c r="I36" s="8"/>
      <c r="J36" s="8"/>
      <c r="K36" s="8"/>
      <c r="L36" s="8"/>
      <c r="M36" s="8"/>
      <c r="N36" s="9"/>
    </row>
    <row r="37">
      <c r="A37" s="214"/>
      <c r="B37" s="214"/>
      <c r="C37" s="214"/>
      <c r="D37" s="214"/>
      <c r="E37" s="214"/>
      <c r="F37" s="214"/>
      <c r="G37" s="214"/>
      <c r="H37" s="214"/>
      <c r="I37" s="214"/>
      <c r="J37" s="214"/>
      <c r="K37" s="214"/>
      <c r="L37" s="214"/>
      <c r="M37" s="214"/>
      <c r="N37" s="214"/>
    </row>
    <row r="38">
      <c r="A38" s="216" t="s">
        <v>406</v>
      </c>
      <c r="B38" s="2"/>
      <c r="C38" s="2"/>
      <c r="D38" s="2"/>
      <c r="E38" s="2"/>
      <c r="F38" s="2"/>
      <c r="G38" s="2"/>
      <c r="H38" s="2"/>
      <c r="I38" s="3"/>
      <c r="J38" s="217"/>
      <c r="K38" s="217" t="s">
        <v>69</v>
      </c>
    </row>
    <row r="39">
      <c r="A39" s="218" t="s">
        <v>407</v>
      </c>
      <c r="B39" s="256" t="s">
        <v>408</v>
      </c>
      <c r="C39" s="219"/>
      <c r="D39" s="2"/>
      <c r="E39" s="2"/>
      <c r="F39" s="2"/>
      <c r="G39" s="3"/>
      <c r="H39" s="220" t="s">
        <v>382</v>
      </c>
      <c r="I39" s="221" t="s">
        <v>383</v>
      </c>
      <c r="J39" s="217"/>
    </row>
    <row r="40">
      <c r="A40" s="222" t="s">
        <v>384</v>
      </c>
      <c r="B40" s="223">
        <f>sum(B41:B48)</f>
        <v>1450</v>
      </c>
      <c r="C40" s="224" t="s">
        <v>385</v>
      </c>
      <c r="D40" s="224" t="s">
        <v>386</v>
      </c>
      <c r="E40" s="224" t="s">
        <v>387</v>
      </c>
      <c r="F40" s="224" t="s">
        <v>388</v>
      </c>
      <c r="G40" s="224" t="s">
        <v>389</v>
      </c>
      <c r="H40" s="163"/>
      <c r="I40" s="163"/>
      <c r="J40" s="214"/>
      <c r="K40" s="225"/>
      <c r="L40" s="5"/>
      <c r="M40" s="5"/>
      <c r="N40" s="6"/>
    </row>
    <row r="41">
      <c r="A41" s="226" t="s">
        <v>409</v>
      </c>
      <c r="B41" s="257">
        <v>280.0</v>
      </c>
      <c r="C41" s="228">
        <v>0.64</v>
      </c>
      <c r="D41" s="235">
        <f t="shared" ref="D41:D48" si="6">E41/C41</f>
        <v>0.921875</v>
      </c>
      <c r="E41" s="230">
        <v>0.59</v>
      </c>
      <c r="F41" s="235">
        <f t="shared" ref="F41:F48" si="7">G41/E41</f>
        <v>0.8644067797</v>
      </c>
      <c r="G41" s="231">
        <v>0.51</v>
      </c>
      <c r="H41" s="238">
        <f t="shared" ref="H41:H48" si="8">B41*C41*E41*G41</f>
        <v>53.92128</v>
      </c>
      <c r="I41" s="235">
        <f t="shared" ref="I41:I48" si="9">H41/B41</f>
        <v>0.192576</v>
      </c>
      <c r="J41" s="214"/>
      <c r="K41" s="150"/>
      <c r="N41" s="38"/>
    </row>
    <row r="42">
      <c r="A42" s="226" t="s">
        <v>410</v>
      </c>
      <c r="B42" s="257">
        <v>370.0</v>
      </c>
      <c r="C42" s="234">
        <v>0.74</v>
      </c>
      <c r="D42" s="235">
        <f t="shared" si="6"/>
        <v>0.9324324324</v>
      </c>
      <c r="E42" s="236">
        <v>0.69</v>
      </c>
      <c r="F42" s="235">
        <f t="shared" si="7"/>
        <v>0.8985507246</v>
      </c>
      <c r="G42" s="237">
        <v>0.62</v>
      </c>
      <c r="H42" s="238">
        <f t="shared" si="8"/>
        <v>117.13164</v>
      </c>
      <c r="I42" s="235">
        <f t="shared" si="9"/>
        <v>0.316572</v>
      </c>
      <c r="J42" s="214"/>
      <c r="K42" s="150"/>
      <c r="N42" s="38"/>
    </row>
    <row r="43">
      <c r="A43" s="226" t="s">
        <v>411</v>
      </c>
      <c r="B43" s="257">
        <v>200.0</v>
      </c>
      <c r="C43" s="239">
        <v>0.78</v>
      </c>
      <c r="D43" s="235">
        <f t="shared" si="6"/>
        <v>0.9102564103</v>
      </c>
      <c r="E43" s="234">
        <v>0.71</v>
      </c>
      <c r="F43" s="235">
        <f t="shared" si="7"/>
        <v>0.9295774648</v>
      </c>
      <c r="G43" s="240">
        <v>0.66</v>
      </c>
      <c r="H43" s="238">
        <f t="shared" si="8"/>
        <v>73.1016</v>
      </c>
      <c r="I43" s="235">
        <f t="shared" si="9"/>
        <v>0.365508</v>
      </c>
      <c r="J43" s="214"/>
      <c r="K43" s="150"/>
      <c r="N43" s="38"/>
    </row>
    <row r="44">
      <c r="A44" s="226" t="s">
        <v>412</v>
      </c>
      <c r="B44" s="257">
        <v>175.0</v>
      </c>
      <c r="C44" s="234">
        <v>0.81</v>
      </c>
      <c r="D44" s="235">
        <f t="shared" si="6"/>
        <v>0.9259259259</v>
      </c>
      <c r="E44" s="236">
        <v>0.75</v>
      </c>
      <c r="F44" s="235">
        <f t="shared" si="7"/>
        <v>0.9466666667</v>
      </c>
      <c r="G44" s="241">
        <v>0.71</v>
      </c>
      <c r="H44" s="238">
        <f t="shared" si="8"/>
        <v>75.481875</v>
      </c>
      <c r="I44" s="235">
        <f t="shared" si="9"/>
        <v>0.431325</v>
      </c>
      <c r="J44" s="214"/>
      <c r="K44" s="150"/>
      <c r="N44" s="38"/>
    </row>
    <row r="45">
      <c r="A45" s="226" t="s">
        <v>413</v>
      </c>
      <c r="B45" s="257">
        <v>120.0</v>
      </c>
      <c r="C45" s="239">
        <v>0.75</v>
      </c>
      <c r="D45" s="235">
        <f t="shared" si="6"/>
        <v>0.9333333333</v>
      </c>
      <c r="E45" s="242">
        <v>0.7</v>
      </c>
      <c r="F45" s="235">
        <f t="shared" si="7"/>
        <v>0.8857142857</v>
      </c>
      <c r="G45" s="243">
        <v>0.62</v>
      </c>
      <c r="H45" s="238">
        <f t="shared" si="8"/>
        <v>39.06</v>
      </c>
      <c r="I45" s="235">
        <f t="shared" si="9"/>
        <v>0.3255</v>
      </c>
      <c r="J45" s="214"/>
      <c r="K45" s="150"/>
      <c r="N45" s="38"/>
    </row>
    <row r="46">
      <c r="A46" s="226" t="s">
        <v>414</v>
      </c>
      <c r="B46" s="257">
        <v>75.0</v>
      </c>
      <c r="C46" s="240">
        <v>0.68</v>
      </c>
      <c r="D46" s="235">
        <f t="shared" si="6"/>
        <v>0.9705882353</v>
      </c>
      <c r="E46" s="245">
        <v>0.66</v>
      </c>
      <c r="F46" s="235">
        <f t="shared" si="7"/>
        <v>0.8333333333</v>
      </c>
      <c r="G46" s="246">
        <v>0.55</v>
      </c>
      <c r="H46" s="238">
        <f t="shared" si="8"/>
        <v>18.513</v>
      </c>
      <c r="I46" s="235">
        <f t="shared" si="9"/>
        <v>0.24684</v>
      </c>
      <c r="J46" s="214"/>
      <c r="K46" s="150"/>
      <c r="N46" s="38"/>
    </row>
    <row r="47">
      <c r="A47" s="226" t="s">
        <v>415</v>
      </c>
      <c r="B47" s="257">
        <v>130.0</v>
      </c>
      <c r="C47" s="231">
        <v>0.72</v>
      </c>
      <c r="D47" s="235">
        <f t="shared" si="6"/>
        <v>0.9305555556</v>
      </c>
      <c r="E47" s="241">
        <v>0.67</v>
      </c>
      <c r="F47" s="235">
        <f t="shared" si="7"/>
        <v>0.9850746269</v>
      </c>
      <c r="G47" s="247">
        <v>0.66</v>
      </c>
      <c r="H47" s="238">
        <f t="shared" si="8"/>
        <v>41.38992</v>
      </c>
      <c r="I47" s="235">
        <f t="shared" si="9"/>
        <v>0.318384</v>
      </c>
      <c r="J47" s="214"/>
      <c r="K47" s="150"/>
      <c r="N47" s="38"/>
    </row>
    <row r="48">
      <c r="A48" s="226" t="s">
        <v>416</v>
      </c>
      <c r="B48" s="257">
        <v>100.0</v>
      </c>
      <c r="C48" s="236">
        <v>0.7</v>
      </c>
      <c r="D48" s="235">
        <f t="shared" si="6"/>
        <v>0.9</v>
      </c>
      <c r="E48" s="248">
        <v>0.63</v>
      </c>
      <c r="F48" s="235">
        <f t="shared" si="7"/>
        <v>0.9047619048</v>
      </c>
      <c r="G48" s="241">
        <v>0.57</v>
      </c>
      <c r="H48" s="238">
        <f t="shared" si="8"/>
        <v>25.137</v>
      </c>
      <c r="I48" s="235">
        <f t="shared" si="9"/>
        <v>0.25137</v>
      </c>
      <c r="J48" s="214"/>
      <c r="K48" s="150"/>
      <c r="N48" s="38"/>
    </row>
    <row r="49">
      <c r="A49" s="249" t="s">
        <v>135</v>
      </c>
      <c r="B49" s="250">
        <f t="shared" ref="B49:I49" si="10">average(B41:B48)</f>
        <v>181.25</v>
      </c>
      <c r="C49" s="251">
        <f t="shared" si="10"/>
        <v>0.7275</v>
      </c>
      <c r="D49" s="235">
        <f t="shared" si="10"/>
        <v>0.9281208616</v>
      </c>
      <c r="E49" s="251">
        <f t="shared" si="10"/>
        <v>0.675</v>
      </c>
      <c r="F49" s="235">
        <f t="shared" si="10"/>
        <v>0.9060107233</v>
      </c>
      <c r="G49" s="251">
        <f t="shared" si="10"/>
        <v>0.6125</v>
      </c>
      <c r="H49" s="252">
        <f t="shared" si="10"/>
        <v>55.46703938</v>
      </c>
      <c r="I49" s="235">
        <f t="shared" si="10"/>
        <v>0.306009375</v>
      </c>
      <c r="J49" s="214"/>
      <c r="K49" s="7"/>
      <c r="L49" s="8"/>
      <c r="M49" s="8"/>
      <c r="N49" s="9"/>
    </row>
    <row r="50">
      <c r="A50" s="214"/>
      <c r="B50" s="214"/>
      <c r="C50" s="214"/>
      <c r="D50" s="214"/>
      <c r="E50" s="214"/>
      <c r="F50" s="214"/>
      <c r="G50" s="214"/>
      <c r="H50" s="214"/>
      <c r="I50" s="214"/>
      <c r="J50" s="214"/>
      <c r="K50" s="214"/>
      <c r="L50" s="214"/>
      <c r="M50" s="214"/>
      <c r="N50" s="214"/>
    </row>
    <row r="51">
      <c r="A51" s="253" t="s">
        <v>417</v>
      </c>
      <c r="B51" s="6"/>
      <c r="C51" s="253" t="s">
        <v>418</v>
      </c>
      <c r="D51" s="6"/>
      <c r="E51" s="253" t="s">
        <v>400</v>
      </c>
      <c r="F51" s="6"/>
      <c r="G51" s="253" t="s">
        <v>401</v>
      </c>
      <c r="H51" s="5"/>
      <c r="I51" s="5"/>
      <c r="J51" s="5"/>
      <c r="K51" s="5"/>
      <c r="L51" s="5"/>
      <c r="M51" s="5"/>
      <c r="N51" s="6"/>
    </row>
    <row r="52">
      <c r="A52" s="7"/>
      <c r="B52" s="9"/>
      <c r="C52" s="7"/>
      <c r="D52" s="9"/>
      <c r="E52" s="7"/>
      <c r="F52" s="9"/>
      <c r="G52" s="7"/>
      <c r="H52" s="8"/>
      <c r="I52" s="8"/>
      <c r="J52" s="8"/>
      <c r="K52" s="8"/>
      <c r="L52" s="8"/>
      <c r="M52" s="8"/>
      <c r="N52" s="9"/>
    </row>
    <row r="53">
      <c r="A53" s="254" t="s">
        <v>419</v>
      </c>
      <c r="B53" s="6"/>
      <c r="C53" s="254" t="s">
        <v>420</v>
      </c>
      <c r="D53" s="6"/>
      <c r="E53" s="254" t="s">
        <v>421</v>
      </c>
      <c r="F53" s="6"/>
      <c r="G53" s="254" t="s">
        <v>422</v>
      </c>
      <c r="H53" s="5"/>
      <c r="I53" s="5"/>
      <c r="J53" s="5"/>
      <c r="K53" s="5"/>
      <c r="L53" s="5"/>
      <c r="M53" s="5"/>
      <c r="N53" s="6"/>
    </row>
    <row r="54">
      <c r="A54" s="150"/>
      <c r="B54" s="38"/>
      <c r="C54" s="150"/>
      <c r="D54" s="38"/>
      <c r="E54" s="150"/>
      <c r="F54" s="38"/>
      <c r="G54" s="150"/>
      <c r="N54" s="38"/>
    </row>
    <row r="55">
      <c r="A55" s="150"/>
      <c r="B55" s="38"/>
      <c r="C55" s="150"/>
      <c r="D55" s="38"/>
      <c r="E55" s="150"/>
      <c r="F55" s="38"/>
      <c r="G55" s="150"/>
      <c r="N55" s="38"/>
    </row>
    <row r="56">
      <c r="A56" s="150"/>
      <c r="B56" s="38"/>
      <c r="C56" s="150"/>
      <c r="D56" s="38"/>
      <c r="E56" s="150"/>
      <c r="F56" s="38"/>
      <c r="G56" s="150"/>
      <c r="N56" s="38"/>
    </row>
    <row r="57">
      <c r="A57" s="150"/>
      <c r="B57" s="38"/>
      <c r="C57" s="150"/>
      <c r="D57" s="38"/>
      <c r="E57" s="150"/>
      <c r="F57" s="38"/>
      <c r="G57" s="150"/>
      <c r="N57" s="38"/>
    </row>
    <row r="58" ht="51.0" customHeight="1">
      <c r="A58" s="7"/>
      <c r="B58" s="9"/>
      <c r="C58" s="7"/>
      <c r="D58" s="9"/>
      <c r="E58" s="7"/>
      <c r="F58" s="9"/>
      <c r="G58" s="7"/>
      <c r="H58" s="8"/>
      <c r="I58" s="8"/>
      <c r="J58" s="8"/>
      <c r="K58" s="8"/>
      <c r="L58" s="8"/>
      <c r="M58" s="8"/>
      <c r="N58" s="9"/>
    </row>
    <row r="59">
      <c r="A59" s="214"/>
      <c r="B59" s="214"/>
      <c r="C59" s="214"/>
      <c r="D59" s="214"/>
      <c r="E59" s="214"/>
      <c r="F59" s="214"/>
      <c r="G59" s="214"/>
      <c r="H59" s="214"/>
      <c r="I59" s="214"/>
      <c r="J59" s="214"/>
      <c r="K59" s="214"/>
      <c r="L59" s="214"/>
      <c r="M59" s="214"/>
      <c r="N59" s="214"/>
    </row>
    <row r="60">
      <c r="A60" s="216" t="s">
        <v>423</v>
      </c>
      <c r="B60" s="2"/>
      <c r="C60" s="2"/>
      <c r="D60" s="2"/>
      <c r="E60" s="2"/>
      <c r="F60" s="2"/>
      <c r="G60" s="2"/>
      <c r="H60" s="2"/>
      <c r="I60" s="3"/>
      <c r="J60" s="217"/>
      <c r="K60" s="217" t="s">
        <v>69</v>
      </c>
    </row>
    <row r="61">
      <c r="A61" s="218" t="s">
        <v>424</v>
      </c>
      <c r="B61" s="256" t="s">
        <v>408</v>
      </c>
      <c r="C61" s="219"/>
      <c r="D61" s="2"/>
      <c r="E61" s="2"/>
      <c r="F61" s="2"/>
      <c r="G61" s="3"/>
      <c r="H61" s="220" t="s">
        <v>382</v>
      </c>
      <c r="I61" s="221" t="s">
        <v>383</v>
      </c>
      <c r="J61" s="217"/>
    </row>
    <row r="62">
      <c r="A62" s="222" t="s">
        <v>384</v>
      </c>
      <c r="B62" s="223">
        <f>sum(B63:B69)</f>
        <v>1500</v>
      </c>
      <c r="C62" s="224" t="s">
        <v>385</v>
      </c>
      <c r="D62" s="224" t="s">
        <v>386</v>
      </c>
      <c r="E62" s="224" t="s">
        <v>387</v>
      </c>
      <c r="F62" s="224" t="s">
        <v>386</v>
      </c>
      <c r="G62" s="224" t="s">
        <v>389</v>
      </c>
      <c r="H62" s="163"/>
      <c r="I62" s="163"/>
      <c r="J62" s="214"/>
      <c r="K62" s="225"/>
      <c r="L62" s="5"/>
      <c r="M62" s="5"/>
      <c r="N62" s="6"/>
    </row>
    <row r="63">
      <c r="A63" s="244" t="s">
        <v>425</v>
      </c>
      <c r="B63" s="257">
        <v>100.0</v>
      </c>
      <c r="C63" s="228">
        <v>0.59</v>
      </c>
      <c r="D63" s="235">
        <f t="shared" ref="D63:D69" si="11">E63/C63</f>
        <v>0.9322033898</v>
      </c>
      <c r="E63" s="230">
        <v>0.55</v>
      </c>
      <c r="F63" s="235">
        <f t="shared" ref="F63:F69" si="12">G63/E63</f>
        <v>0.8727272727</v>
      </c>
      <c r="G63" s="231">
        <v>0.48</v>
      </c>
      <c r="H63" s="238">
        <f t="shared" ref="H63:H69" si="13">B63*C63*E63*G63</f>
        <v>15.576</v>
      </c>
      <c r="I63" s="235">
        <f t="shared" ref="I63:I69" si="14">H63/B63</f>
        <v>0.15576</v>
      </c>
      <c r="J63" s="214"/>
      <c r="K63" s="150"/>
      <c r="N63" s="38"/>
    </row>
    <row r="64">
      <c r="A64" s="244" t="s">
        <v>426</v>
      </c>
      <c r="B64" s="257">
        <v>250.0</v>
      </c>
      <c r="C64" s="234">
        <v>0.62</v>
      </c>
      <c r="D64" s="235">
        <f t="shared" si="11"/>
        <v>0.9838709677</v>
      </c>
      <c r="E64" s="236">
        <v>0.61</v>
      </c>
      <c r="F64" s="235">
        <f t="shared" si="12"/>
        <v>0.8360655738</v>
      </c>
      <c r="G64" s="237">
        <v>0.51</v>
      </c>
      <c r="H64" s="238">
        <f t="shared" si="13"/>
        <v>48.2205</v>
      </c>
      <c r="I64" s="235">
        <f t="shared" si="14"/>
        <v>0.192882</v>
      </c>
      <c r="J64" s="214"/>
      <c r="K64" s="150"/>
      <c r="N64" s="38"/>
    </row>
    <row r="65">
      <c r="A65" s="244" t="s">
        <v>427</v>
      </c>
      <c r="B65" s="257">
        <v>210.0</v>
      </c>
      <c r="C65" s="239">
        <v>0.7</v>
      </c>
      <c r="D65" s="235">
        <f t="shared" si="11"/>
        <v>0.8714285714</v>
      </c>
      <c r="E65" s="234">
        <v>0.61</v>
      </c>
      <c r="F65" s="235">
        <f t="shared" si="12"/>
        <v>0.9016393443</v>
      </c>
      <c r="G65" s="240">
        <v>0.55</v>
      </c>
      <c r="H65" s="238">
        <f t="shared" si="13"/>
        <v>49.3185</v>
      </c>
      <c r="I65" s="235">
        <f t="shared" si="14"/>
        <v>0.23485</v>
      </c>
      <c r="J65" s="214"/>
      <c r="K65" s="150"/>
      <c r="N65" s="38"/>
    </row>
    <row r="66">
      <c r="A66" s="244" t="s">
        <v>428</v>
      </c>
      <c r="B66" s="257">
        <v>250.0</v>
      </c>
      <c r="C66" s="234">
        <v>0.83</v>
      </c>
      <c r="D66" s="235">
        <f t="shared" si="11"/>
        <v>0.9156626506</v>
      </c>
      <c r="E66" s="236">
        <v>0.76</v>
      </c>
      <c r="F66" s="235">
        <f t="shared" si="12"/>
        <v>0.9210526316</v>
      </c>
      <c r="G66" s="241">
        <v>0.7</v>
      </c>
      <c r="H66" s="238">
        <f t="shared" si="13"/>
        <v>110.39</v>
      </c>
      <c r="I66" s="235">
        <f t="shared" si="14"/>
        <v>0.44156</v>
      </c>
      <c r="J66" s="214"/>
      <c r="K66" s="150"/>
      <c r="N66" s="38"/>
    </row>
    <row r="67">
      <c r="A67" s="244" t="s">
        <v>429</v>
      </c>
      <c r="B67" s="257">
        <v>220.0</v>
      </c>
      <c r="C67" s="239">
        <v>0.86</v>
      </c>
      <c r="D67" s="235">
        <f t="shared" si="11"/>
        <v>0.9069767442</v>
      </c>
      <c r="E67" s="242">
        <v>0.78</v>
      </c>
      <c r="F67" s="235">
        <f t="shared" si="12"/>
        <v>0.9358974359</v>
      </c>
      <c r="G67" s="243">
        <v>0.73</v>
      </c>
      <c r="H67" s="238">
        <f t="shared" si="13"/>
        <v>107.73048</v>
      </c>
      <c r="I67" s="235">
        <f t="shared" si="14"/>
        <v>0.489684</v>
      </c>
      <c r="J67" s="214"/>
      <c r="K67" s="150"/>
      <c r="N67" s="38"/>
    </row>
    <row r="68">
      <c r="A68" s="244" t="s">
        <v>430</v>
      </c>
      <c r="B68" s="257">
        <v>270.0</v>
      </c>
      <c r="C68" s="240">
        <v>0.872063968015992</v>
      </c>
      <c r="D68" s="235">
        <f t="shared" si="11"/>
        <v>0.9288309456</v>
      </c>
      <c r="E68" s="245">
        <v>0.81</v>
      </c>
      <c r="F68" s="235">
        <f t="shared" si="12"/>
        <v>0.9012345679</v>
      </c>
      <c r="G68" s="246">
        <v>0.73</v>
      </c>
      <c r="H68" s="238">
        <f t="shared" si="13"/>
        <v>139.2258846</v>
      </c>
      <c r="I68" s="235">
        <f t="shared" si="14"/>
        <v>0.5156514243</v>
      </c>
      <c r="J68" s="214"/>
      <c r="K68" s="150"/>
      <c r="N68" s="38"/>
    </row>
    <row r="69">
      <c r="A69" s="244" t="s">
        <v>431</v>
      </c>
      <c r="B69" s="257">
        <v>200.0</v>
      </c>
      <c r="C69" s="231">
        <v>0.88</v>
      </c>
      <c r="D69" s="235">
        <f t="shared" si="11"/>
        <v>0.9090909091</v>
      </c>
      <c r="E69" s="241">
        <v>0.8</v>
      </c>
      <c r="F69" s="235">
        <f t="shared" si="12"/>
        <v>0.8875</v>
      </c>
      <c r="G69" s="247">
        <v>0.71</v>
      </c>
      <c r="H69" s="238">
        <f t="shared" si="13"/>
        <v>99.968</v>
      </c>
      <c r="I69" s="235">
        <f t="shared" si="14"/>
        <v>0.49984</v>
      </c>
      <c r="J69" s="214"/>
      <c r="K69" s="150"/>
      <c r="N69" s="38"/>
    </row>
    <row r="70">
      <c r="A70" s="222" t="s">
        <v>135</v>
      </c>
      <c r="B70" s="250">
        <f t="shared" ref="B70:C70" si="15">average(B63:B69)</f>
        <v>214.2857143</v>
      </c>
      <c r="C70" s="251">
        <f t="shared" si="15"/>
        <v>0.7645805669</v>
      </c>
      <c r="D70" s="235">
        <f>average(D62:D69)</f>
        <v>0.9211520255</v>
      </c>
      <c r="E70" s="251">
        <f>average(E63:E69)</f>
        <v>0.7028571429</v>
      </c>
      <c r="F70" s="235">
        <f>average(F62:F69)</f>
        <v>0.8937309752</v>
      </c>
      <c r="G70" s="251">
        <f>average(G63:G69)</f>
        <v>0.63</v>
      </c>
      <c r="H70" s="252">
        <f t="shared" ref="H70:I70" si="16">average(H62:H69)</f>
        <v>81.48990922</v>
      </c>
      <c r="I70" s="235">
        <f t="shared" si="16"/>
        <v>0.3614610606</v>
      </c>
      <c r="J70" s="214"/>
      <c r="K70" s="7"/>
      <c r="L70" s="8"/>
      <c r="M70" s="8"/>
      <c r="N70" s="9"/>
    </row>
    <row r="71">
      <c r="A71" s="214"/>
      <c r="B71" s="214"/>
      <c r="C71" s="214"/>
      <c r="D71" s="214"/>
      <c r="E71" s="214"/>
      <c r="F71" s="214"/>
      <c r="G71" s="214"/>
      <c r="H71" s="214"/>
      <c r="I71" s="214"/>
      <c r="J71" s="214"/>
      <c r="K71" s="214"/>
      <c r="L71" s="214"/>
      <c r="M71" s="214"/>
      <c r="N71" s="214"/>
    </row>
    <row r="72">
      <c r="A72" s="253" t="s">
        <v>432</v>
      </c>
      <c r="B72" s="6"/>
      <c r="C72" s="253" t="s">
        <v>433</v>
      </c>
      <c r="D72" s="6"/>
      <c r="E72" s="253" t="s">
        <v>400</v>
      </c>
      <c r="F72" s="6"/>
      <c r="G72" s="253" t="s">
        <v>401</v>
      </c>
      <c r="H72" s="5"/>
      <c r="I72" s="5"/>
      <c r="J72" s="5"/>
      <c r="K72" s="5"/>
      <c r="L72" s="5"/>
      <c r="M72" s="5"/>
      <c r="N72" s="6"/>
    </row>
    <row r="73">
      <c r="A73" s="7"/>
      <c r="B73" s="9"/>
      <c r="C73" s="7"/>
      <c r="D73" s="9"/>
      <c r="E73" s="7"/>
      <c r="F73" s="9"/>
      <c r="G73" s="7"/>
      <c r="H73" s="8"/>
      <c r="I73" s="8"/>
      <c r="J73" s="8"/>
      <c r="K73" s="8"/>
      <c r="L73" s="8"/>
      <c r="M73" s="8"/>
      <c r="N73" s="9"/>
    </row>
    <row r="74">
      <c r="A74" s="254" t="s">
        <v>434</v>
      </c>
      <c r="B74" s="6"/>
      <c r="C74" s="254" t="s">
        <v>435</v>
      </c>
      <c r="D74" s="6"/>
      <c r="E74" s="254" t="s">
        <v>436</v>
      </c>
      <c r="F74" s="6"/>
      <c r="G74" s="254" t="s">
        <v>437</v>
      </c>
      <c r="H74" s="5"/>
      <c r="I74" s="5"/>
      <c r="J74" s="5"/>
      <c r="K74" s="5"/>
      <c r="L74" s="5"/>
      <c r="M74" s="5"/>
      <c r="N74" s="6"/>
    </row>
    <row r="75">
      <c r="A75" s="150"/>
      <c r="B75" s="38"/>
      <c r="C75" s="150"/>
      <c r="D75" s="38"/>
      <c r="E75" s="150"/>
      <c r="F75" s="38"/>
      <c r="G75" s="150"/>
      <c r="N75" s="38"/>
    </row>
    <row r="76">
      <c r="A76" s="150"/>
      <c r="B76" s="38"/>
      <c r="C76" s="150"/>
      <c r="D76" s="38"/>
      <c r="E76" s="150"/>
      <c r="F76" s="38"/>
      <c r="G76" s="150"/>
      <c r="N76" s="38"/>
    </row>
    <row r="77">
      <c r="A77" s="150"/>
      <c r="B77" s="38"/>
      <c r="C77" s="150"/>
      <c r="D77" s="38"/>
      <c r="E77" s="150"/>
      <c r="F77" s="38"/>
      <c r="G77" s="150"/>
      <c r="N77" s="38"/>
    </row>
    <row r="78">
      <c r="A78" s="150"/>
      <c r="B78" s="38"/>
      <c r="C78" s="150"/>
      <c r="D78" s="38"/>
      <c r="E78" s="150"/>
      <c r="F78" s="38"/>
      <c r="G78" s="150"/>
      <c r="N78" s="38"/>
    </row>
    <row r="79" ht="69.75" customHeight="1">
      <c r="A79" s="7"/>
      <c r="B79" s="9"/>
      <c r="C79" s="7"/>
      <c r="D79" s="9"/>
      <c r="E79" s="7"/>
      <c r="F79" s="9"/>
      <c r="G79" s="7"/>
      <c r="H79" s="8"/>
      <c r="I79" s="8"/>
      <c r="J79" s="8"/>
      <c r="K79" s="8"/>
      <c r="L79" s="8"/>
      <c r="M79" s="8"/>
      <c r="N79" s="9"/>
    </row>
    <row r="80">
      <c r="A80" s="214"/>
      <c r="B80" s="214"/>
      <c r="C80" s="214"/>
      <c r="D80" s="214"/>
      <c r="E80" s="214"/>
      <c r="F80" s="214"/>
      <c r="G80" s="214"/>
      <c r="H80" s="214"/>
      <c r="I80" s="214"/>
      <c r="J80" s="214"/>
      <c r="K80" s="214"/>
      <c r="L80" s="214"/>
      <c r="M80" s="214"/>
      <c r="N80" s="214"/>
    </row>
    <row r="81">
      <c r="A81" s="216" t="s">
        <v>438</v>
      </c>
      <c r="B81" s="2"/>
      <c r="C81" s="2"/>
      <c r="D81" s="2"/>
      <c r="E81" s="2"/>
      <c r="F81" s="2"/>
      <c r="G81" s="2"/>
      <c r="H81" s="2"/>
      <c r="I81" s="3"/>
      <c r="J81" s="217"/>
      <c r="K81" s="217" t="s">
        <v>69</v>
      </c>
    </row>
    <row r="82">
      <c r="A82" s="218" t="s">
        <v>439</v>
      </c>
      <c r="B82" s="256" t="s">
        <v>408</v>
      </c>
      <c r="C82" s="219"/>
      <c r="D82" s="2"/>
      <c r="E82" s="2"/>
      <c r="F82" s="2"/>
      <c r="G82" s="3"/>
      <c r="H82" s="220" t="s">
        <v>382</v>
      </c>
      <c r="I82" s="221" t="s">
        <v>383</v>
      </c>
      <c r="J82" s="217"/>
    </row>
    <row r="83">
      <c r="A83" s="222" t="s">
        <v>384</v>
      </c>
      <c r="B83" s="223">
        <f>sum(B84:B88)</f>
        <v>1490</v>
      </c>
      <c r="C83" s="224" t="s">
        <v>385</v>
      </c>
      <c r="D83" s="224" t="s">
        <v>386</v>
      </c>
      <c r="E83" s="224" t="s">
        <v>387</v>
      </c>
      <c r="F83" s="224" t="s">
        <v>386</v>
      </c>
      <c r="G83" s="224" t="s">
        <v>389</v>
      </c>
      <c r="H83" s="163"/>
      <c r="I83" s="163"/>
      <c r="J83" s="214"/>
      <c r="K83" s="225"/>
      <c r="L83" s="5"/>
      <c r="M83" s="5"/>
      <c r="N83" s="6"/>
    </row>
    <row r="84">
      <c r="A84" s="244" t="s">
        <v>440</v>
      </c>
      <c r="B84" s="257">
        <v>250.0</v>
      </c>
      <c r="C84" s="228">
        <v>0.72</v>
      </c>
      <c r="D84" s="235">
        <f t="shared" ref="D84:D88" si="17">E84/C84</f>
        <v>0.9444444444</v>
      </c>
      <c r="E84" s="230">
        <v>0.68</v>
      </c>
      <c r="F84" s="235">
        <f t="shared" ref="F84:F88" si="18">G84/E84</f>
        <v>0.8823529412</v>
      </c>
      <c r="G84" s="231">
        <v>0.6</v>
      </c>
      <c r="H84" s="238">
        <f t="shared" ref="H84:H88" si="19">B84*C84*E84*G84</f>
        <v>73.44</v>
      </c>
      <c r="I84" s="235">
        <f t="shared" ref="I84:I88" si="20">H84/B84</f>
        <v>0.29376</v>
      </c>
      <c r="J84" s="214"/>
      <c r="K84" s="150"/>
      <c r="N84" s="38"/>
    </row>
    <row r="85">
      <c r="A85" s="244" t="s">
        <v>441</v>
      </c>
      <c r="B85" s="257">
        <v>310.0</v>
      </c>
      <c r="C85" s="234">
        <v>0.76</v>
      </c>
      <c r="D85" s="235">
        <f t="shared" si="17"/>
        <v>0.9210526316</v>
      </c>
      <c r="E85" s="236">
        <v>0.7</v>
      </c>
      <c r="F85" s="235">
        <f t="shared" si="18"/>
        <v>0.8428571429</v>
      </c>
      <c r="G85" s="237">
        <v>0.59</v>
      </c>
      <c r="H85" s="238">
        <f t="shared" si="19"/>
        <v>97.3028</v>
      </c>
      <c r="I85" s="235">
        <f t="shared" si="20"/>
        <v>0.31388</v>
      </c>
      <c r="J85" s="214"/>
      <c r="K85" s="150"/>
      <c r="N85" s="38"/>
    </row>
    <row r="86">
      <c r="A86" s="244" t="s">
        <v>442</v>
      </c>
      <c r="B86" s="257">
        <v>390.0</v>
      </c>
      <c r="C86" s="239">
        <v>0.8</v>
      </c>
      <c r="D86" s="235">
        <f t="shared" si="17"/>
        <v>0.9125</v>
      </c>
      <c r="E86" s="234">
        <v>0.73</v>
      </c>
      <c r="F86" s="235">
        <f t="shared" si="18"/>
        <v>0.8904109589</v>
      </c>
      <c r="G86" s="240">
        <v>0.65</v>
      </c>
      <c r="H86" s="238">
        <f t="shared" si="19"/>
        <v>148.044</v>
      </c>
      <c r="I86" s="235">
        <f t="shared" si="20"/>
        <v>0.3796</v>
      </c>
      <c r="J86" s="214"/>
      <c r="K86" s="150"/>
      <c r="N86" s="38"/>
    </row>
    <row r="87">
      <c r="A87" s="244" t="s">
        <v>443</v>
      </c>
      <c r="B87" s="257">
        <v>430.0</v>
      </c>
      <c r="C87" s="234">
        <v>0.83</v>
      </c>
      <c r="D87" s="235">
        <f t="shared" si="17"/>
        <v>0.9397590361</v>
      </c>
      <c r="E87" s="236">
        <v>0.78</v>
      </c>
      <c r="F87" s="235">
        <f t="shared" si="18"/>
        <v>0.9102564103</v>
      </c>
      <c r="G87" s="241">
        <v>0.71</v>
      </c>
      <c r="H87" s="238">
        <f t="shared" si="19"/>
        <v>197.65122</v>
      </c>
      <c r="I87" s="235">
        <f t="shared" si="20"/>
        <v>0.459654</v>
      </c>
      <c r="J87" s="214"/>
      <c r="K87" s="150"/>
      <c r="N87" s="38"/>
    </row>
    <row r="88">
      <c r="A88" s="244" t="s">
        <v>444</v>
      </c>
      <c r="B88" s="257">
        <v>110.0</v>
      </c>
      <c r="C88" s="239">
        <v>0.7</v>
      </c>
      <c r="D88" s="235">
        <f t="shared" si="17"/>
        <v>0.9428571429</v>
      </c>
      <c r="E88" s="242">
        <v>0.66</v>
      </c>
      <c r="F88" s="235">
        <f t="shared" si="18"/>
        <v>0.8787878788</v>
      </c>
      <c r="G88" s="243">
        <v>0.58</v>
      </c>
      <c r="H88" s="238">
        <f t="shared" si="19"/>
        <v>29.4756</v>
      </c>
      <c r="I88" s="235">
        <f t="shared" si="20"/>
        <v>0.26796</v>
      </c>
      <c r="J88" s="214"/>
      <c r="K88" s="150"/>
      <c r="N88" s="38"/>
    </row>
    <row r="89">
      <c r="A89" s="258" t="s">
        <v>135</v>
      </c>
      <c r="B89" s="223">
        <f t="shared" ref="B89:C89" si="21">average(B84:B88)</f>
        <v>298</v>
      </c>
      <c r="C89" s="251">
        <f t="shared" si="21"/>
        <v>0.762</v>
      </c>
      <c r="D89" s="235">
        <f>average(D81:D88)</f>
        <v>0.932122651</v>
      </c>
      <c r="E89" s="251">
        <f>average(E84:E88)</f>
        <v>0.71</v>
      </c>
      <c r="F89" s="235">
        <f>average(F81:F88)</f>
        <v>0.8809330664</v>
      </c>
      <c r="G89" s="251">
        <f>average(G84:G88)</f>
        <v>0.626</v>
      </c>
      <c r="H89" s="252">
        <f t="shared" ref="H89:I89" si="22">average(H81:H88)</f>
        <v>109.182724</v>
      </c>
      <c r="I89" s="235">
        <f t="shared" si="22"/>
        <v>0.3429708</v>
      </c>
      <c r="J89" s="214"/>
      <c r="K89" s="7"/>
      <c r="L89" s="8"/>
      <c r="M89" s="8"/>
      <c r="N89" s="9"/>
    </row>
    <row r="90">
      <c r="A90" s="214"/>
      <c r="B90" s="214"/>
      <c r="C90" s="214"/>
      <c r="D90" s="214"/>
      <c r="E90" s="214"/>
      <c r="F90" s="214"/>
      <c r="G90" s="214"/>
      <c r="H90" s="214"/>
      <c r="I90" s="214"/>
      <c r="J90" s="214"/>
      <c r="K90" s="214"/>
      <c r="L90" s="214"/>
      <c r="M90" s="214"/>
      <c r="N90" s="214"/>
    </row>
    <row r="91">
      <c r="A91" s="253" t="s">
        <v>445</v>
      </c>
      <c r="B91" s="6"/>
      <c r="C91" s="253" t="s">
        <v>446</v>
      </c>
      <c r="D91" s="6"/>
      <c r="E91" s="253" t="s">
        <v>400</v>
      </c>
      <c r="F91" s="6"/>
      <c r="G91" s="253" t="s">
        <v>401</v>
      </c>
      <c r="H91" s="5"/>
      <c r="I91" s="5"/>
      <c r="J91" s="5"/>
      <c r="K91" s="5"/>
      <c r="L91" s="5"/>
      <c r="M91" s="5"/>
      <c r="N91" s="6"/>
    </row>
    <row r="92">
      <c r="A92" s="7"/>
      <c r="B92" s="9"/>
      <c r="C92" s="7"/>
      <c r="D92" s="9"/>
      <c r="E92" s="7"/>
      <c r="F92" s="9"/>
      <c r="G92" s="7"/>
      <c r="H92" s="8"/>
      <c r="I92" s="8"/>
      <c r="J92" s="8"/>
      <c r="K92" s="8"/>
      <c r="L92" s="8"/>
      <c r="M92" s="8"/>
      <c r="N92" s="9"/>
    </row>
    <row r="93">
      <c r="A93" s="254" t="s">
        <v>447</v>
      </c>
      <c r="B93" s="6"/>
      <c r="C93" s="254" t="s">
        <v>448</v>
      </c>
      <c r="D93" s="6"/>
      <c r="E93" s="254" t="s">
        <v>449</v>
      </c>
      <c r="F93" s="6"/>
      <c r="G93" s="254" t="s">
        <v>450</v>
      </c>
      <c r="H93" s="5"/>
      <c r="I93" s="5"/>
      <c r="J93" s="5"/>
      <c r="K93" s="5"/>
      <c r="L93" s="5"/>
      <c r="M93" s="5"/>
      <c r="N93" s="6"/>
    </row>
    <row r="94">
      <c r="A94" s="150"/>
      <c r="B94" s="38"/>
      <c r="C94" s="150"/>
      <c r="D94" s="38"/>
      <c r="E94" s="150"/>
      <c r="F94" s="38"/>
      <c r="G94" s="150"/>
      <c r="N94" s="38"/>
    </row>
    <row r="95">
      <c r="A95" s="150"/>
      <c r="B95" s="38"/>
      <c r="C95" s="150"/>
      <c r="D95" s="38"/>
      <c r="E95" s="150"/>
      <c r="F95" s="38"/>
      <c r="G95" s="150"/>
      <c r="N95" s="38"/>
    </row>
    <row r="96">
      <c r="A96" s="150"/>
      <c r="B96" s="38"/>
      <c r="C96" s="150"/>
      <c r="D96" s="38"/>
      <c r="E96" s="150"/>
      <c r="F96" s="38"/>
      <c r="G96" s="150"/>
      <c r="N96" s="38"/>
    </row>
    <row r="97">
      <c r="A97" s="150"/>
      <c r="B97" s="38"/>
      <c r="C97" s="150"/>
      <c r="D97" s="38"/>
      <c r="E97" s="150"/>
      <c r="F97" s="38"/>
      <c r="G97" s="150"/>
      <c r="N97" s="38"/>
    </row>
    <row r="98" ht="43.5" customHeight="1">
      <c r="A98" s="7"/>
      <c r="B98" s="9"/>
      <c r="C98" s="7"/>
      <c r="D98" s="9"/>
      <c r="E98" s="7"/>
      <c r="F98" s="9"/>
      <c r="G98" s="7"/>
      <c r="H98" s="8"/>
      <c r="I98" s="8"/>
      <c r="J98" s="8"/>
      <c r="K98" s="8"/>
      <c r="L98" s="8"/>
      <c r="M98" s="8"/>
      <c r="N98" s="9"/>
    </row>
  </sheetData>
  <mergeCells count="71">
    <mergeCell ref="K38:N39"/>
    <mergeCell ref="C39:G39"/>
    <mergeCell ref="H39:H40"/>
    <mergeCell ref="I39:I40"/>
    <mergeCell ref="K40:N49"/>
    <mergeCell ref="A51:B52"/>
    <mergeCell ref="C51:D52"/>
    <mergeCell ref="A53:B58"/>
    <mergeCell ref="C53:D58"/>
    <mergeCell ref="E53:F58"/>
    <mergeCell ref="G53:N58"/>
    <mergeCell ref="A60:I60"/>
    <mergeCell ref="K60:N61"/>
    <mergeCell ref="C61:G61"/>
    <mergeCell ref="H61:H62"/>
    <mergeCell ref="I61:I62"/>
    <mergeCell ref="K62:N70"/>
    <mergeCell ref="A72:B73"/>
    <mergeCell ref="C72:D73"/>
    <mergeCell ref="E72:F73"/>
    <mergeCell ref="G72:N73"/>
    <mergeCell ref="A74:B79"/>
    <mergeCell ref="C74:D79"/>
    <mergeCell ref="E74:F79"/>
    <mergeCell ref="G74:N79"/>
    <mergeCell ref="A81:I81"/>
    <mergeCell ref="K81:N82"/>
    <mergeCell ref="C82:G82"/>
    <mergeCell ref="A1:N1"/>
    <mergeCell ref="A2:J2"/>
    <mergeCell ref="A3:J3"/>
    <mergeCell ref="A4:J4"/>
    <mergeCell ref="A5:J5"/>
    <mergeCell ref="A6:J6"/>
    <mergeCell ref="A7:J7"/>
    <mergeCell ref="A8:J8"/>
    <mergeCell ref="A9:J9"/>
    <mergeCell ref="A10:J10"/>
    <mergeCell ref="A11:J11"/>
    <mergeCell ref="A12:J12"/>
    <mergeCell ref="A13:J13"/>
    <mergeCell ref="A14:J14"/>
    <mergeCell ref="A15:J15"/>
    <mergeCell ref="A16:I16"/>
    <mergeCell ref="K16:N17"/>
    <mergeCell ref="C17:G17"/>
    <mergeCell ref="H17:H18"/>
    <mergeCell ref="I17:I18"/>
    <mergeCell ref="K18:N27"/>
    <mergeCell ref="E31:F36"/>
    <mergeCell ref="A38:I38"/>
    <mergeCell ref="A29:B30"/>
    <mergeCell ref="C29:D30"/>
    <mergeCell ref="E29:F30"/>
    <mergeCell ref="G29:N30"/>
    <mergeCell ref="A31:B36"/>
    <mergeCell ref="C31:D36"/>
    <mergeCell ref="G31:N36"/>
    <mergeCell ref="E51:F52"/>
    <mergeCell ref="G51:N52"/>
    <mergeCell ref="A93:B98"/>
    <mergeCell ref="C93:D98"/>
    <mergeCell ref="E93:F98"/>
    <mergeCell ref="G93:N98"/>
    <mergeCell ref="H82:H83"/>
    <mergeCell ref="I82:I83"/>
    <mergeCell ref="K83:N89"/>
    <mergeCell ref="A91:B92"/>
    <mergeCell ref="C91:D92"/>
    <mergeCell ref="E91:F92"/>
    <mergeCell ref="G91:N92"/>
  </mergeCells>
  <drawing r:id="rId1"/>
  <tableParts count="12">
    <tablePart r:id="rId14"/>
    <tablePart r:id="rId15"/>
    <tablePart r:id="rId16"/>
    <tablePart r:id="rId17"/>
    <tablePart r:id="rId18"/>
    <tablePart r:id="rId19"/>
    <tablePart r:id="rId20"/>
    <tablePart r:id="rId21"/>
    <tablePart r:id="rId22"/>
    <tablePart r:id="rId23"/>
    <tablePart r:id="rId24"/>
    <tablePart r:id="rId25"/>
  </tableParts>
</worksheet>
</file>